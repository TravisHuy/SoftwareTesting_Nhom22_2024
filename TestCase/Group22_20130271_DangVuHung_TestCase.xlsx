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tables/table2.xml" ContentType="application/vnd.openxmlformats-officedocument.spreadsheetml.table+xml"/>
  <Override PartName="/xl/comments3.xml" ContentType="application/vnd.openxmlformats-officedocument.spreadsheetml.comments+xml"/>
  <Override PartName="/xl/tables/table3.xml" ContentType="application/vnd.openxmlformats-officedocument.spreadsheetml.table+xml"/>
  <Override PartName="/xl/comments4.xml" ContentType="application/vnd.openxmlformats-officedocument.spreadsheetml.comments+xml"/>
  <Override PartName="/xl/tables/table4.xml" ContentType="application/vnd.openxmlformats-officedocument.spreadsheetml.table+xml"/>
  <Override PartName="/xl/comments5.xml" ContentType="application/vnd.openxmlformats-officedocument.spreadsheetml.comments+xml"/>
  <Override PartName="/xl/tables/table5.xml" ContentType="application/vnd.openxmlformats-officedocument.spreadsheetml.table+xml"/>
  <Override PartName="/xl/comments6.xml" ContentType="application/vnd.openxmlformats-officedocument.spreadsheetml.comments+xml"/>
  <Override PartName="/xl/tables/table6.xml" ContentType="application/vnd.openxmlformats-officedocument.spreadsheetml.table+xml"/>
  <Override PartName="/xl/comments7.xml" ContentType="application/vnd.openxmlformats-officedocument.spreadsheetml.comments+xml"/>
  <Override PartName="/xl/tables/table7.xml" ContentType="application/vnd.openxmlformats-officedocument.spreadsheetml.table+xml"/>
  <Override PartName="/xl/comments8.xml" ContentType="application/vnd.openxmlformats-officedocument.spreadsheetml.comments+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eclipse1\SoftwareTesting_Nhom22_2024\TestCase\"/>
    </mc:Choice>
  </mc:AlternateContent>
  <bookViews>
    <workbookView xWindow="0" yWindow="0" windowWidth="27810" windowHeight="11100" firstSheet="4" activeTab="9"/>
  </bookViews>
  <sheets>
    <sheet name="Cover" sheetId="1" r:id="rId1"/>
    <sheet name="Test trải nghiệm người dùng" sheetId="4" r:id="rId2"/>
    <sheet name="Test thêm sản phẩm" sheetId="12" r:id="rId3"/>
    <sheet name="Test xóa sản phẩm " sheetId="11" r:id="rId4"/>
    <sheet name="Test cập nhật giỏ hàng" sheetId="10" r:id="rId5"/>
    <sheet name="Test thanh toán" sheetId="9" r:id="rId6"/>
    <sheet name="Test Tìm sản phẩm tương tự" sheetId="14" r:id="rId7"/>
    <sheet name="Test shopee voucher" sheetId="15" r:id="rId8"/>
    <sheet name="Test defect" sheetId="13" r:id="rId9"/>
    <sheet name="Test Report" sheetId="8" r:id="rId10"/>
  </sheets>
  <definedNames>
    <definedName name="ACTION" localSheetId="4">#REF!</definedName>
    <definedName name="ACTION" localSheetId="5">#REF!</definedName>
    <definedName name="ACTION" localSheetId="2">#REF!</definedName>
    <definedName name="ACTION" localSheetId="3">#REF!</definedName>
    <definedName name="ACTION">#REF!</definedName>
    <definedName name="LOCAL_DATE_SEPARATOR" localSheetId="4">#REF!</definedName>
    <definedName name="LOCAL_DATE_SEPARATOR" localSheetId="5">#REF!</definedName>
    <definedName name="LOCAL_DATE_SEPARATOR" localSheetId="2">#REF!</definedName>
    <definedName name="LOCAL_DATE_SEPARATOR" localSheetId="3">#REF!</definedName>
    <definedName name="LOCAL_DATE_SEPARATOR">#REF!</definedName>
    <definedName name="LOCAL_DAY_FORMAT" localSheetId="4">#REF!</definedName>
    <definedName name="LOCAL_DAY_FORMAT" localSheetId="5">#REF!</definedName>
    <definedName name="LOCAL_DAY_FORMAT" localSheetId="2">#REF!</definedName>
    <definedName name="LOCAL_DAY_FORMAT" localSheetId="3">#REF!</definedName>
    <definedName name="LOCAL_DAY_FORMAT">#REF!</definedName>
    <definedName name="LOCAL_HOUR_FORMAT" localSheetId="4">#REF!</definedName>
    <definedName name="LOCAL_HOUR_FORMAT" localSheetId="5">#REF!</definedName>
    <definedName name="LOCAL_HOUR_FORMAT" localSheetId="2">#REF!</definedName>
    <definedName name="LOCAL_HOUR_FORMAT" localSheetId="3">#REF!</definedName>
    <definedName name="LOCAL_HOUR_FORMAT">#REF!</definedName>
    <definedName name="LOCAL_MINUTE_FORMAT" localSheetId="4">#REF!</definedName>
    <definedName name="LOCAL_MINUTE_FORMAT" localSheetId="5">#REF!</definedName>
    <definedName name="LOCAL_MINUTE_FORMAT" localSheetId="2">#REF!</definedName>
    <definedName name="LOCAL_MINUTE_FORMAT" localSheetId="3">#REF!</definedName>
    <definedName name="LOCAL_MINUTE_FORMAT">#REF!</definedName>
    <definedName name="LOCAL_MONTH_FORMAT" localSheetId="4">#REF!</definedName>
    <definedName name="LOCAL_MONTH_FORMAT" localSheetId="5">#REF!</definedName>
    <definedName name="LOCAL_MONTH_FORMAT" localSheetId="2">#REF!</definedName>
    <definedName name="LOCAL_MONTH_FORMAT" localSheetId="3">#REF!</definedName>
    <definedName name="LOCAL_MONTH_FORMAT">#REF!</definedName>
    <definedName name="LOCAL_SECOND_FORMAT" localSheetId="4">#REF!</definedName>
    <definedName name="LOCAL_SECOND_FORMAT" localSheetId="5">#REF!</definedName>
    <definedName name="LOCAL_SECOND_FORMAT" localSheetId="2">#REF!</definedName>
    <definedName name="LOCAL_SECOND_FORMAT" localSheetId="3">#REF!</definedName>
    <definedName name="LOCAL_SECOND_FORMAT">#REF!</definedName>
    <definedName name="LOCAL_TIME_SEPARATOR" localSheetId="4">#REF!</definedName>
    <definedName name="LOCAL_TIME_SEPARATOR" localSheetId="5">#REF!</definedName>
    <definedName name="LOCAL_TIME_SEPARATOR" localSheetId="2">#REF!</definedName>
    <definedName name="LOCAL_TIME_SEPARATOR" localSheetId="3">#REF!</definedName>
    <definedName name="LOCAL_TIME_SEPARATOR">#REF!</definedName>
    <definedName name="LOCAL_YEAR_FORMAT" localSheetId="4">#REF!</definedName>
    <definedName name="LOCAL_YEAR_FORMAT" localSheetId="5">#REF!</definedName>
    <definedName name="LOCAL_YEAR_FORMAT" localSheetId="2">#REF!</definedName>
    <definedName name="LOCAL_YEAR_FORMAT" localSheetId="3">#REF!</definedName>
    <definedName name="LOCAL_YEAR_FORMAT">#REF!</definedName>
  </definedNames>
  <calcPr calcId="162913"/>
  <extLs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E16" i="8" l="1"/>
  <c r="F16" i="8"/>
  <c r="G16" i="8"/>
  <c r="H16" i="8"/>
  <c r="I16" i="8"/>
  <c r="D16" i="8"/>
  <c r="D17" i="8"/>
  <c r="E15" i="8"/>
  <c r="F15" i="8"/>
  <c r="G15" i="8"/>
  <c r="H15" i="8"/>
  <c r="I15" i="8"/>
  <c r="D15" i="8"/>
  <c r="C16" i="8"/>
  <c r="C15" i="8"/>
  <c r="A11" i="15"/>
  <c r="A10" i="15"/>
  <c r="A9" i="15"/>
  <c r="F6" i="15"/>
  <c r="E6" i="15"/>
  <c r="D6" i="15"/>
  <c r="C6" i="15"/>
  <c r="B6" i="15"/>
  <c r="A9" i="14"/>
  <c r="A10" i="14"/>
  <c r="A11" i="14"/>
  <c r="F6" i="14"/>
  <c r="E6" i="14"/>
  <c r="D6" i="14"/>
  <c r="C6" i="14"/>
  <c r="B6" i="14"/>
  <c r="G6" i="15" l="1"/>
  <c r="G6" i="14"/>
  <c r="B4" i="13"/>
  <c r="A4" i="13"/>
  <c r="B3" i="13"/>
  <c r="A3" i="13"/>
  <c r="B2" i="13"/>
  <c r="E14" i="8" l="1"/>
  <c r="F14" i="8"/>
  <c r="G14" i="8"/>
  <c r="H14" i="8"/>
  <c r="D14" i="8"/>
  <c r="E13" i="8"/>
  <c r="F13" i="8"/>
  <c r="G13" i="8"/>
  <c r="H13" i="8"/>
  <c r="D13" i="8"/>
  <c r="I13" i="8"/>
  <c r="E12" i="8"/>
  <c r="F12" i="8"/>
  <c r="G12" i="8"/>
  <c r="H12" i="8"/>
  <c r="D12" i="8"/>
  <c r="F6" i="9"/>
  <c r="E6" i="9"/>
  <c r="D6" i="9"/>
  <c r="C6" i="9"/>
  <c r="B6" i="9"/>
  <c r="G6" i="10"/>
  <c r="F6" i="10"/>
  <c r="E6" i="10"/>
  <c r="D6" i="10"/>
  <c r="C6" i="10"/>
  <c r="B6" i="10"/>
  <c r="A9" i="10"/>
  <c r="A10" i="10"/>
  <c r="A11" i="10"/>
  <c r="A12" i="10"/>
  <c r="A13" i="10"/>
  <c r="A14" i="10"/>
  <c r="A15" i="10"/>
  <c r="C17" i="8"/>
  <c r="C14" i="8"/>
  <c r="C13" i="8"/>
  <c r="C12" i="8"/>
  <c r="C11" i="8"/>
  <c r="A12" i="11"/>
  <c r="F6" i="11"/>
  <c r="E6" i="11"/>
  <c r="D6" i="11"/>
  <c r="C6" i="11"/>
  <c r="B6" i="11"/>
  <c r="F6" i="12"/>
  <c r="H11" i="8" s="1"/>
  <c r="E6" i="12"/>
  <c r="G11" i="8" s="1"/>
  <c r="D6" i="12"/>
  <c r="F11" i="8" s="1"/>
  <c r="C6" i="12"/>
  <c r="E11" i="8" s="1"/>
  <c r="B6" i="12"/>
  <c r="D11" i="8" s="1"/>
  <c r="E6" i="4"/>
  <c r="G17" i="8" s="1"/>
  <c r="D6" i="4"/>
  <c r="F17" i="8" s="1"/>
  <c r="F6" i="4"/>
  <c r="H17" i="8" s="1"/>
  <c r="C6" i="4"/>
  <c r="E17" i="8" s="1"/>
  <c r="B6" i="4"/>
  <c r="A13" i="4"/>
  <c r="A14" i="4"/>
  <c r="A15" i="4"/>
  <c r="A2" i="13" s="1"/>
  <c r="A16" i="4"/>
  <c r="A17" i="4"/>
  <c r="A18" i="4"/>
  <c r="A9" i="12"/>
  <c r="A10" i="12"/>
  <c r="A11" i="12"/>
  <c r="A12" i="12"/>
  <c r="A13" i="12"/>
  <c r="A14" i="12"/>
  <c r="A15" i="12"/>
  <c r="A16" i="12"/>
  <c r="A17" i="12"/>
  <c r="A18" i="12"/>
  <c r="G6" i="12" s="1"/>
  <c r="I11" i="8" s="1"/>
  <c r="A10" i="9" l="1"/>
  <c r="A11" i="9"/>
  <c r="A12" i="9"/>
  <c r="A13" i="9"/>
  <c r="A14" i="9"/>
  <c r="A15" i="9"/>
  <c r="A16" i="9"/>
  <c r="A17" i="9"/>
  <c r="A18" i="9"/>
  <c r="A9" i="9"/>
  <c r="A10" i="11"/>
  <c r="A11" i="11"/>
  <c r="A9" i="11"/>
  <c r="A9" i="4"/>
  <c r="A10" i="4"/>
  <c r="A11" i="4"/>
  <c r="A12" i="4"/>
  <c r="G6" i="9" l="1"/>
  <c r="I14" i="8" s="1"/>
  <c r="G6" i="11"/>
  <c r="I12" i="8" s="1"/>
  <c r="C4" i="8" l="1"/>
  <c r="C5" i="8" s="1"/>
  <c r="C3" i="8"/>
  <c r="D18" i="8" l="1"/>
  <c r="G18" i="8"/>
  <c r="G6" i="4"/>
  <c r="I17" i="8" s="1"/>
  <c r="H18" i="8"/>
  <c r="E18" i="8"/>
  <c r="E21" i="8" l="1"/>
  <c r="I18" i="8"/>
  <c r="E20" i="8" s="1"/>
  <c r="F18" i="8"/>
</calcChain>
</file>

<file path=xl/comments1.xml><?xml version="1.0" encoding="utf-8"?>
<comments xmlns="http://schemas.openxmlformats.org/spreadsheetml/2006/main">
  <authors>
    <author/>
  </authors>
  <commentList>
    <comment ref="E11" authorId="0" shapeId="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extLst>
    <ext xmlns:r="http://schemas.openxmlformats.org/officeDocument/2006/relationships" uri="GoogleSheetsCustomDataVersion2">
      <go:sheetsCustomData xmlns:go="http://customooxmlschemas.google.com/" r:id="rId1" roundtripDataSignature="AMtx7mgtfGWTK3BRPC+qIax+XpdMaXa++Q=="/>
    </ext>
  </extLst>
</comments>
</file>

<file path=xl/comments3.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4.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5.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6.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7.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8.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sharedStrings.xml><?xml version="1.0" encoding="utf-8"?>
<sst xmlns="http://schemas.openxmlformats.org/spreadsheetml/2006/main" count="467" uniqueCount="245">
  <si>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</si>
  <si>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</si>
  <si>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</si>
  <si>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</si>
  <si>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</si>
  <si>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</si>
  <si>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</si>
  <si>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</si>
  <si>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</si>
  <si>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</si>
  <si>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</si>
  <si>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</si>
  <si>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</si>
  <si>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</si>
  <si>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</si>
  <si>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</si>
  <si>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</si>
  <si>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</si>
  <si>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No</t>
  </si>
  <si>
    <t>Module Code</t>
  </si>
  <si>
    <t>Passed</t>
  </si>
  <si>
    <t>Test requirement</t>
  </si>
  <si>
    <t>Failed</t>
  </si>
  <si>
    <t>Tester</t>
  </si>
  <si>
    <t>Blocked</t>
  </si>
  <si>
    <t>Untested</t>
  </si>
  <si>
    <t>Skipped</t>
  </si>
  <si>
    <t>Number of Test cases</t>
  </si>
  <si>
    <t>ID</t>
  </si>
  <si>
    <t>Test Case Description</t>
  </si>
  <si>
    <t>Test Case Procedure</t>
  </si>
  <si>
    <t>Expected Output</t>
  </si>
  <si>
    <t>Result</t>
  </si>
  <si>
    <t>TEST REPORT</t>
  </si>
  <si>
    <t>Notes</t>
  </si>
  <si>
    <t>Module code</t>
  </si>
  <si>
    <t>Pass</t>
  </si>
  <si>
    <t>Fail</t>
  </si>
  <si>
    <t>Number of  test cases</t>
  </si>
  <si>
    <t>Sub total</t>
  </si>
  <si>
    <t>Test coverage</t>
  </si>
  <si>
    <t>%</t>
  </si>
  <si>
    <t>Test successful coverage</t>
  </si>
  <si>
    <t>Đặng Vũ Hưng</t>
  </si>
  <si>
    <t>Shoppe</t>
  </si>
  <si>
    <t>Sản phẩm  được thêm vào giỏ hàng.
Số lượng sản phẩm trong giỏ hàng là 1.
Tổng giá trị giỏ hàng cập nhật chính xác.</t>
  </si>
  <si>
    <t xml:space="preserve">Hệ thống chuyển người dùng sang trang đăng nhập.
Sau khi đăng nhập thành công sẽ trở về trang chi tiết sản phẩm.
</t>
  </si>
  <si>
    <t>Precondition</t>
  </si>
  <si>
    <t>Người dùng đã đăng nhập vào tài khoản.</t>
  </si>
  <si>
    <t xml:space="preserve">Thêm một sản phẩm vào giỏ hàng </t>
  </si>
  <si>
    <t xml:space="preserve">Người dùng đã đăng nhập vào tài khoản. </t>
  </si>
  <si>
    <t>1. Truy cập vào trang chi tiết sản phẩm.
2. Nhấn "Thêm vào giỏ hàng".</t>
  </si>
  <si>
    <t>Thêm một sản phẩm vào giỏ hàng khi không đăng nhập</t>
  </si>
  <si>
    <t>Người dùng chưa đăng nhập vào tài khoản.</t>
  </si>
  <si>
    <t>Thêm một sản phẩm vào giỏ hàng sau khi chọn biến thể (size, màu sắc)</t>
  </si>
  <si>
    <t>Người dùng đã đăng nhập vào tài khoản.
Sản phẩm có các biến thể (size, màu sắc).</t>
  </si>
  <si>
    <t>1. Truy cập vào trang chi tiết sản phẩm.
2. Chọn biến thể (size, màu sắc).
3. Nhấn "Thêm vào giỏ hàng".</t>
  </si>
  <si>
    <t xml:space="preserve">Sản phẩm với biến thể đã chọn được thêm vào giỏ hàng thành công.
Tổng giá trị giỏ hàng cập nhật chính xác
</t>
  </si>
  <si>
    <t>Thêm nhiều sản phẩm vào giỏ hàng</t>
  </si>
  <si>
    <t>1. Truy cập vào trang chi tiết sản phẩm.
2. Nhấn "Thêm vào giỏ hàng".
3. Quay lại trang sản phẩm khác và tiếp tục nhấn "Thêm vào giỏ hàng".</t>
  </si>
  <si>
    <t xml:space="preserve">Các sản phẩm được thêm vào giỏ hàng thành công.
Tổng giá trị giỏ hàng cập nhật chính xác
</t>
  </si>
  <si>
    <t>Thêm sản phẩm vào giỏ hàng khi sản phẩm đã hết hàng</t>
  </si>
  <si>
    <t>Người dùng đã đăng nhập vào tài khoản.
Sản phẩm đã hết hàng.</t>
  </si>
  <si>
    <t>1. Truy cập vào trang chi tiết sản phẩm đã hết hàng.
2. Nhấn "Thêm vào giỏ hàng".</t>
  </si>
  <si>
    <t>Hệ thống hiển thị thông báo "Sản phẩm hết hàng" và không thể thêm vào giỏ hàng.</t>
  </si>
  <si>
    <t>Thêm sản phẩm vào giỏ hàng khi có mã giảm giá</t>
  </si>
  <si>
    <t>Người dùng đã đăng nhập vào tài khoản.
Người dùng đã có mã giảm giá hợp lệ.</t>
  </si>
  <si>
    <t>1. Truy cập vào trang chi tiết sản phẩm.
2. Nhấn "Thêm vào giỏ hàng".
3. Nhập mã giảm giá khi thanh toán.</t>
  </si>
  <si>
    <t>Mã giảm giá được áp dụng và giá trị giỏ hàng giảm chính xác.</t>
  </si>
  <si>
    <t>Thêm sản phẩm vào giỏ hàng và kiểm tra giỏ hàng ngay</t>
  </si>
  <si>
    <t>1. Thêm sản phẩm vào giỏ hàng.
2. Nhấn vào biểu tượng giỏ hàng để xem giỏ.</t>
  </si>
  <si>
    <t xml:space="preserve">Sản phẩm vừa thêm vào giỏ hàng hiển thị trong giỏ và giá trị chính xác.
</t>
  </si>
  <si>
    <t>Thêm sản phẩm vào giỏ hàng khi có chương trình khuyến mãi</t>
  </si>
  <si>
    <t>Sản phẩm đang có chương trình khuyến mãi.</t>
  </si>
  <si>
    <t xml:space="preserve">1. Truy cập vào trang chi tiết sản phẩm có khuyến mãi.
2. Nhấn "Thêm vào giỏ hàng".
</t>
  </si>
  <si>
    <t>Khuyến mãi được áp dụng và giá trị giỏ hàng giảm đúng.</t>
  </si>
  <si>
    <t>Xóa một sản phẩm khỏi giỏ hàng</t>
  </si>
  <si>
    <t>Giỏ hàng có ít nhất một sản phẩm</t>
  </si>
  <si>
    <t>1. Truy cập vào giỏ hàng.
2. Nhấn nút "Xóa" của sản phẩm muốn xóa.</t>
  </si>
  <si>
    <t>Sản phẩm được xóa khỏi giỏ hàng thành công.
Giá trị đơn hàng giảm đúng</t>
  </si>
  <si>
    <t>Xóa nhiều sản phẩm khỏi giỏ hàng</t>
  </si>
  <si>
    <t>Giỏ hàng có nhiều sản phẩm.</t>
  </si>
  <si>
    <t>1. Truy cập vào giỏ hàng.
2. Chọn nhiều sản phẩm muốn xóa.
3. Nhấn nút "Xóa".</t>
  </si>
  <si>
    <t>Xóa tất cả sản phẩm khỏi giỏ hàng</t>
  </si>
  <si>
    <t>1. Truy cập vào giỏ hàng.
2. Nhấn nút "Xóa tất cả sản phẩm".</t>
  </si>
  <si>
    <t>Giỏ hàng trở thành trống, không còn sản phẩm nào.</t>
  </si>
  <si>
    <t>Cập nhật số lượng sản phẩm trong giỏ hàng thành công</t>
  </si>
  <si>
    <t>Người dùng đã đăng nhập vào tài khoản Shopee và có ít nhất một sản phẩm trong giỏ hàng</t>
  </si>
  <si>
    <t>Số lượng sản phẩm được cập nhật thành công và tổng giá trị giỏ hàng được thay đổi.</t>
  </si>
  <si>
    <t>Cập nhật số lượng sản phẩm vượt quá số lượng có sẵn trong kho.</t>
  </si>
  <si>
    <t>Người dùng đã đăng nhập vào tài khoản Shopee và sản phẩm trong giỏ hàng có số lượng kho hạn chế.</t>
  </si>
  <si>
    <t>Hệ thống thông báo rằng số lượng nhập vượt quá số lượng trong kho và không thể cập nhật.</t>
  </si>
  <si>
    <t>Kiểm tra việc không nhập số lượng.</t>
  </si>
  <si>
    <t>Người dùng đã đăng nhập và có sản phẩm trong giỏ hàng.</t>
  </si>
  <si>
    <t>1.Vào giỏ hàng.
2.Chọn sản phẩm trong giỏ hàng muốn cập nhật số lượng.
3.Nhập số lượng mới</t>
  </si>
  <si>
    <t xml:space="preserve">1.Vào giỏ hàng.
2.Chọn sản phẩm có số lượng trong kho ít.
3.Nhập số lượng lớn hơn số lượng có sẵn trong kho.
</t>
  </si>
  <si>
    <t>1.Vào giỏ hàng.
2.Chọn sản phẩm và không nhập số lượng mới, để trống ô số lượng.
3.Nhấn nút enter.</t>
  </si>
  <si>
    <t>Hệ thống yêu cầu người dùng nhập số lượng hợp lệ trước khi thực hiện cập nhật.</t>
  </si>
  <si>
    <t>Cập nhật số lượng sản phẩm đã hết hàng</t>
  </si>
  <si>
    <t>Người dùng đã đăng nhập và sản phẩm đã hết hàng</t>
  </si>
  <si>
    <t>1.Vào giỏ hàng.
2.Chọn sản phẩm đã hết hàng.
3.Nhập số lượng mới .</t>
  </si>
  <si>
    <t>Hệ thống thông báo sản phẩm này không còn hàng và không thể cập nhật số lượng.</t>
  </si>
  <si>
    <t>Cập nhật số lượng sản phẩm khi giỏ hàng có sản phẩm đang trong chương trình flash sale.</t>
  </si>
  <si>
    <t xml:space="preserve"> Người dùng đã đăng nhập và có sản phẩm trong giỏ hàng đang tham gia chương trình flash sale.</t>
  </si>
  <si>
    <t xml:space="preserve">1.Vào giỏ hàng.
2.Chọn sản phẩm tham gia flash sale.
3.Thay đổi số lượng </t>
  </si>
  <si>
    <t>Cập nhật số lượng sản phẩm với giá đã thay đổi</t>
  </si>
  <si>
    <t>Người dùng đã đăng nhập và có sản phẩm trong giỏ hàng, giá sản phẩm thay đổi.</t>
  </si>
  <si>
    <t>1.Vào giỏ hàng.
2.Chọn sản phẩm và thay đổi số lượng.</t>
  </si>
  <si>
    <t>Hệ thống hiển thị giá mới của sản phẩm và giỏ hàng được tính lại.</t>
  </si>
  <si>
    <t>Cập nhật số lượng sản phẩm từ trang chi tiết giỏ hàng</t>
  </si>
  <si>
    <t>1.Vào giỏ hàng.
2.Chọn "Xem chi tiết" cho sản phẩm muốn thay đổi số lượng.
3.Thay đổi số lượng và nhấn "thêm vào giỏt".</t>
  </si>
  <si>
    <t>Số lượng sản phẩm được cập nhật và tổng giá trị giỏ hàng thay đổi.</t>
  </si>
  <si>
    <t>Kiểm tra việc hiển thị sản phẩm trong giỏ hàng khi giỏ hàng không có sản phẩm.</t>
  </si>
  <si>
    <t xml:space="preserve"> Người dùng đã đăng nhập và giỏ hàng chưa có sản phẩm.</t>
  </si>
  <si>
    <t>Vào giỏ hàng.</t>
  </si>
  <si>
    <t>Hệ thống hiển thị thông báo "Giỏ hàng của bạn trống" hoặc không có sản phẩm nào được hiển thị trong giỏ hàng.</t>
  </si>
  <si>
    <t>Người dùng đã đăng nhập và có một sản phẩm trong giỏ hàng.</t>
  </si>
  <si>
    <t>1.Thêm một sản phẩm vào giỏ hàng.
2.Vào giỏ hàng.</t>
  </si>
  <si>
    <t>Hệ thống hiển thị sản phẩm với các thông tin như tên sản phẩm, hình ảnh, số lượng, giá, và tổng tiền.</t>
  </si>
  <si>
    <t xml:space="preserve"> Hệ thống hiển thị tất cả các sản phẩm trong giỏ hàng với đầy đủ thông tin (tên, hình ảnh, số lượng, giá, tổng tiền).</t>
  </si>
  <si>
    <t>1.Thêm nhiều sản phẩm vào giỏ hàng.
2.Vào giỏ hàng.</t>
  </si>
  <si>
    <t>Người dùng đã đăng nhập và có nhiều sản phẩm trong giỏ hàng.</t>
  </si>
  <si>
    <t>Kiểm tra hiển thị tổng giá trị giỏ hàng.</t>
  </si>
  <si>
    <t xml:space="preserve"> Người dùng đã đăng nhập và có sản phẩm trong giỏ hàng.</t>
  </si>
  <si>
    <t xml:space="preserve"> Hệ thống hiển thị tổng giá trị của giỏ hàng, bao gồm tổng số tiền của tất cả sản phẩm trong giỏ.</t>
  </si>
  <si>
    <t>Kiểm tra quy trình thanh toán khi giỏ hàng có một sản phẩm.</t>
  </si>
  <si>
    <t>Người dùng đã đăng nhập và giỏ hàng có một sản phẩm.</t>
  </si>
  <si>
    <t>Hệ thống hiển thị thông báo thanh toán thành công và đơn hàng được tạo, bao gồm các sản phẩm đã chọn.</t>
  </si>
  <si>
    <t>1.Vào giỏ hàng chọn sản phẩm muốn thanh toán và nhấn "Thanh toán".
2.Chọn phương thức thanh toán và địa chỉ giao hàng.
3.Xác nhận thanh toán.</t>
  </si>
  <si>
    <t>Kiểm tra thanh toán với phương thức thanh toán COD (Thanh toán khi nhận hàng).</t>
  </si>
  <si>
    <t>1.Vào giỏ hàng chọn sản phẩm muốn thanh toán và nhấn "Thanh toán".
2.Chọn phương thức thanh toán là "Thanh toán khi nhận hàng (COD)". và địa chỉ giao hàng.
3.Xác nhận thanh toán.</t>
  </si>
  <si>
    <t>Hệ thống hiển thị thông báo thanh toán thành công và đơn hàng được tạo, phương thức thanh toán là COD.</t>
  </si>
  <si>
    <t>Kiểm tra thanh toán với phương thức thanh toán qua thẻ tín dụng/ghi nợ.</t>
  </si>
  <si>
    <t>1.Vào giỏ hàng chọn sản phẩm muốn thanh toán và nhấn "Thanh toán".
2.Chọn phương thức thanh toán qua thẻ tín dụng/ghi nợ.". và địa chỉ giao hàng.
3.Xác nhận thanh toán.</t>
  </si>
  <si>
    <t>Hệ thống xác nhận thanh toán qua thẻ tín dụng/ghi nợ thành công và đơn hàng được tạo.</t>
  </si>
  <si>
    <t>Kiểm tra thanh toán với phương thức thanh toán qua shoppe pay</t>
  </si>
  <si>
    <t>1.Vào giỏ hàng chọn sản phẩm muốn thanh toán và nhấn "Thanh toán".
2.Chọn phương thức thanh toán qua shoppe pay.". và địa chỉ giao hàng.
3.Xác nhận thanh toán.</t>
  </si>
  <si>
    <t>Hệ thống xác nhận thanh toán qua shoppe pay thành công và đơn hàng được tạo.</t>
  </si>
  <si>
    <t>Kiểm tra thanh toán với mã giảm giá.</t>
  </si>
  <si>
    <t>1.Vào giỏ hàng chọn sản phẩm muốn thanh toán và nhấn "Thanh toán".
2.Chọn mã giảm giá của shop.
3.Xác nhận thanh toán.</t>
  </si>
  <si>
    <t>Hệ thống hiển thị số tiền giảm và tổng tiền sau khi áp dụng mã giảm giá, thanh toán thành công.</t>
  </si>
  <si>
    <t>iểm tra thanh toán khi tài khoản không có đủ tiền (với phương thức thanh toán qua shoppe pay)</t>
  </si>
  <si>
    <t>Hệ thống thông báo không đủ tiền và yêu cầu người dùng kiểm tra lại số dư.</t>
  </si>
  <si>
    <t>Kiểm tra giao diện việc thêm sản phẩm vào giỏ hàng từ trang chi tiết sản phẩm.</t>
  </si>
  <si>
    <t xml:space="preserve"> Người dùng đã đăng nhập vào tài khoản Shopee.</t>
  </si>
  <si>
    <t>1.Truy cập vào trang chi tiết của sản phẩm.
2.Chọn số lượng sản phẩm và nhấn nút "Thêm vào giỏ hàng".</t>
  </si>
  <si>
    <t>Hệ thống hiển thị thông báo thành công, và sản phẩm được thêm vào giỏ hàng. Icon giỏ hàng có số lượng sản phẩm được cập nhật</t>
  </si>
  <si>
    <t>Kiểm tra giao diện việc xem giỏ hàng khi có sản phẩm trong giỏ.</t>
  </si>
  <si>
    <t>Người dùng đã đăng nhập và có ít nhất một sản phẩm trong giỏ hàng.</t>
  </si>
  <si>
    <t>Chỉ vào biểu tượng giỏ hàng ở góc trên bên phải màn hình.</t>
  </si>
  <si>
    <t xml:space="preserve">Hệ thống hiển thị đúng biểu tượng và có số lượng sản phẩm trên biểu tượng
Khi thay đổi số lượng sản phẩm thì biểu tượng cũng thay đổi
Hệ thống hiển thị danh sách sản phẩm trong giỏ hàng, cùng với thông tin chi tiết (tên sản phẩm, hình ảnh, số lượng, giá).
</t>
  </si>
  <si>
    <t>Kiểm tra trải nghiệm người dùng khi giỏ hàng trống.</t>
  </si>
  <si>
    <t>Người dùng đã đăng nhập và giỏ hàng không có sản phẩm.</t>
  </si>
  <si>
    <t>Hệ thống hiển thị đúng biểu tượng 
Hệ thống hiển thị Chưa có sản phẩm</t>
  </si>
  <si>
    <t>Dang Vu Hung</t>
  </si>
  <si>
    <t xml:space="preserve">so </t>
  </si>
  <si>
    <t>USR_ADD</t>
  </si>
  <si>
    <t>USR_DEL</t>
  </si>
  <si>
    <t>USR_UPTDATE</t>
  </si>
  <si>
    <t>USR_Pay</t>
  </si>
  <si>
    <t>Thêm số lượng sản phẩm vượt quá giới hạn</t>
  </si>
  <si>
    <t xml:space="preserve">1. Truy cập vào trang chi tiết sản phẩm.
2. Nhập số lượng sản phẩm vượt quá số lượng tối đa
</t>
  </si>
  <si>
    <t>Hệ thống hiện thông báo Số lượng bạn chọn đã đạt mức tối đa của sản phẩm này</t>
  </si>
  <si>
    <t>Thêm sản phẩm khi tài khoản bị khóa</t>
  </si>
  <si>
    <t>Hệ thống hiển thị thông báo lỗi "Tài khoản bị hạn chế".</t>
  </si>
  <si>
    <t>Kiểm tra Tốc độ phản hồi khi thêm sản phẩm vào giỏ hàng</t>
  </si>
  <si>
    <t>Đo thời gian phản hồi sau khi nhấn "Thêm vào giỏ hàng".</t>
  </si>
  <si>
    <t xml:space="preserve"> Người dùng đã đăng nhập vào tài khoản Shopee và đã nhấn nút thêm giỏ hàng.</t>
  </si>
  <si>
    <t>Phản hồi trong vòng 1-2 giây</t>
  </si>
  <si>
    <t>USR_EXP</t>
  </si>
  <si>
    <t>Kiểm tra Tốc độ tải trang thanh toán</t>
  </si>
  <si>
    <t>Người dùng đã đăng nhập vào tài khoản Shopee và ở trang giỏ hàng đã nhấn nút mua hàng.</t>
  </si>
  <si>
    <t>Đo thời gian tải trang thanh toán sau khi nhấn nút "Mua hàng</t>
  </si>
  <si>
    <t>Trang tải hoàn tất trong vòng 2-3 giây.</t>
  </si>
  <si>
    <t xml:space="preserve">Kiểm tra hiển thị khi có nhiều phương thức thanh toán
</t>
  </si>
  <si>
    <t>Người dùng đã đăng nhập vào tài khoản Shopee và vào trang thanh toán.</t>
  </si>
  <si>
    <t>Chọn lần lượt giữa các tab phương thức thanh toán (Ví ShopeePay, Thẻ tín dụng, COD, ATM...).</t>
  </si>
  <si>
    <t>Các phương thức thanh toán hiển thị đúng và trong thời gian 1-2 giây.</t>
  </si>
  <si>
    <t>Kiểm tra khi sử dụng tính năng "Mua ngay" thay vì "Thêm vào giỏ hàng"</t>
  </si>
  <si>
    <t>Người dùng đã đăng nhập vào tài khoản Shopee</t>
  </si>
  <si>
    <t xml:space="preserve">Nhấn "Mua ngay" trên sản phẩm </t>
  </si>
  <si>
    <t>Hệ thống chuyển trực tiếp đến thanh toán mà không qua giỏ hàng.</t>
  </si>
  <si>
    <t>Kiểm tra Tốc độ tải trang giỏ hàng</t>
  </si>
  <si>
    <t xml:space="preserve">1. Truy cập vào giỏ hàng khi có nhiều sản phẩm.
</t>
  </si>
  <si>
    <t>Giỏ hàng tải hoàn tất trong vòng 2-3 giây, không bị lag.</t>
  </si>
  <si>
    <t>Kiểm tra hiệu năng khi xóa nhiều sản phẩm</t>
  </si>
  <si>
    <t>Chọn và xóa 10-20 sản phẩm khỏi giỏ hàng cùng lúc.</t>
  </si>
  <si>
    <t>Người dùng đã đăng nhập vào tài khoản Shopee và ở trang giỏ hàng</t>
  </si>
  <si>
    <t>Hệ thống xử lý nhanh trong 1-2 giây, không gặp lỗi hoặc hiển thị thông tin sai.</t>
  </si>
  <si>
    <t>Kiểm tra khi có nhiều người dùng cùng thao tác trên giỏ hàng</t>
  </si>
  <si>
    <t>Nhiều người dùng đăng nhập cùng lúc trên 1 tài khoản</t>
  </si>
  <si>
    <t>Nhiều người dùng cùng thêm và xóa sản phẩm cùng lúc</t>
  </si>
  <si>
    <t>Xóa sản phẩm khi giỏ hàng đang đồng bộ trên nhiều thiết bị</t>
  </si>
  <si>
    <t>Đăng nhập trên nhiều thiết bị khác nhau
Giỏ hàng có nhiều sản phẩm.</t>
  </si>
  <si>
    <t>Thiết bị còn lại cập nhật giỏ hàng tự động, không cần tải lại trang</t>
  </si>
  <si>
    <t>Test case ID</t>
  </si>
  <si>
    <t>Defect Description</t>
  </si>
  <si>
    <t>Expected Result</t>
  </si>
  <si>
    <t>Actual Result</t>
  </si>
  <si>
    <t>Severity</t>
  </si>
  <si>
    <t>Priority</t>
  </si>
  <si>
    <t>Status</t>
  </si>
  <si>
    <t>Assigned To</t>
  </si>
  <si>
    <t>Nhấn "Mua ngay" sẽ chuyển hướng đến trang thanh toán với sản phẩm đã chọn.</t>
  </si>
  <si>
    <t>Chuyển hướng vào trang giỏ hàng</t>
  </si>
  <si>
    <t>Khi sử dụng nút "Mua ngay," sản phẩm không được chuyển trực tiếp đến trang thanh toán mà đến trang giỏ àn</t>
  </si>
  <si>
    <t>High</t>
  </si>
  <si>
    <t>Open</t>
  </si>
  <si>
    <t>DEV</t>
  </si>
  <si>
    <t>Cần kiểm tra vấn đề routing frontend.</t>
  </si>
  <si>
    <t>1.Người dùng đã đăng nhập vào tài khoản bị khóa.
2. Sản phẩm tồn tại trong hệ thống và hiển thị trên trang.</t>
  </si>
  <si>
    <t>Không thể kiểm tra vì tester không có tài khoản bị khóa để thực hiện tái tạo lỗi.</t>
  </si>
  <si>
    <t>Không có tài khoản bị khóa để thực hiện kiểm tra.</t>
  </si>
  <si>
    <t>Medium</t>
  </si>
  <si>
    <t>Admin</t>
  </si>
  <si>
    <t>Đề xuất tạo tài khoản bị khóa</t>
  </si>
  <si>
    <t>Khi xóa sản phẩm từ thiết bị A, giỏ hàng trên thiết bị B không tự động load lại mà phải reload trang.</t>
  </si>
  <si>
    <t>Khi xóa sản phẩm từ thiết bị A, giỏ hàng trên thiết bị B phải reload lại trang để cập nhật.</t>
  </si>
  <si>
    <t>Sản phẩm bị xóa khỏi giỏ hàng thiết bị A, nhưng không có bất kỳ phản hồi nào trên thiết bị B cho đến khi người dùng reload lại trang.</t>
  </si>
  <si>
    <t>Kiểm tra cơ chế đồng bộ .</t>
  </si>
  <si>
    <t>Column1</t>
  </si>
  <si>
    <t>Column2</t>
  </si>
  <si>
    <t>USR_Find</t>
  </si>
  <si>
    <t xml:space="preserve"> Người dùng đã đăng nhập và giỏ hàng  có ít nhất 1 sản phẩm.</t>
  </si>
  <si>
    <t>Kiểm tra việc hiển thị giao diện danh sách sản phẩm khi nhấn nút "Tìm sản phẩm tương tự".</t>
  </si>
  <si>
    <t>1.Vào giỏ hàng.
2. Nhấn "tìm sản phẩm tương tự" ở sản phẩm muốn tìm
3. Tiếp tục nhấn "tìm sản phẩm tương tự" thêm 1 lần nữa</t>
  </si>
  <si>
    <t>Hệ thống hiển thị danh sách các sản phẩm tương tự 
Nếu nhấn thêm 1 lần nữa hệ thống ẩn danh sách sản phẩm tương tự</t>
  </si>
  <si>
    <t xml:space="preserve">1.Vào giỏ hàng.
2. Nhấn "tìm sản phẩm tương tự" ở sản phẩm muốn tìm
</t>
  </si>
  <si>
    <t>Hệ thống hiển thị các sản phẩm tương tự như sản phẩm được chọn</t>
  </si>
  <si>
    <t>Kiểm tra các sản phẩm trong danh sách sản phẩm tương tư</t>
  </si>
  <si>
    <t>Kiểm tra Hiển thị thông tin sản phẩm trong giỏ hàng khi có một sản phẩm.</t>
  </si>
  <si>
    <t>Kiểm tra Hiển thị thông tin sản phẩm trong giỏ hàng khi có nhiều sản phẩm</t>
  </si>
  <si>
    <t>Kiểm tra tốc độ load các page trong danh sách sản phẩm tương tự</t>
  </si>
  <si>
    <t xml:space="preserve">Người dùng đã đăng nhập và có ít nhất một sản phẩm trong giỏ hàng.
</t>
  </si>
  <si>
    <t xml:space="preserve">1.Vào giỏ hàng.
2. Nhấn "tìm sản phẩm tương tự" ở sản phẩm muốn tìm
3. Chuyển đổi qua lại giữa các page
</t>
  </si>
  <si>
    <t xml:space="preserve"> Hệ thống load các sản phẩm trong 1-2 giây.</t>
  </si>
  <si>
    <t>USR_Voucher</t>
  </si>
  <si>
    <t>Kiểm tra việc hiển thị danh sách shopee voucher khi chưa chọn sản phẩm thanh toán.</t>
  </si>
  <si>
    <t xml:space="preserve">1.Vào giỏ hàng.
2.Tại Shopee Voucher nhấn "chọn hoặc nhập mã"
</t>
  </si>
  <si>
    <t xml:space="preserve">Hệ thống hiển thị danh sách các voucher được làm mờ
</t>
  </si>
  <si>
    <t>Kiểm tra việc hiển thị chọn shopee voucher khi chưa chọn sản phẩm thanh toán.</t>
  </si>
  <si>
    <t xml:space="preserve">1.Vào giỏ hàng.
2.Tại Shopee Voucher nhấn "chọn hoặc nhập mã"
3. Tại danh sách voucher nhấn chọn voucher hoặc tìm kiếm mã voucher
</t>
  </si>
  <si>
    <t>Hệ thống hiển thị thông báo "Vui lòng chọn sản phẩm"</t>
  </si>
  <si>
    <t>Kiểm tra việc hiển thị chọn shopee voucher khi đã chọn sản phẩm thanh toán.</t>
  </si>
  <si>
    <t>Hệ thống thông báo chọn thành công và tính lại tổng đơn hàng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</si>
</sst>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409]dd\-mmm\-yy"/>
  </numFmts>
  <fonts count="22">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0"/>
      <color theme="1"/>
      <name val="Calibri"/>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sz val="10"/>
      <color theme="1"/>
      <name val="Calibri"/>
      <family val="2"/>
    </font>
    <font>
      <i/>
      <sz val="10"/>
      <color rgb="FF008000"/>
      <name val="Tahoma"/>
      <family val="2"/>
    </font>
    <font>
      <b/>
      <sz val="10"/>
      <color rgb="FFFFFFFF"/>
      <name val="Tahoma"/>
      <family val="2"/>
    </font>
    <font>
      <b/>
      <sz val="10"/>
      <color rgb="FF000000"/>
      <name val="Tahoma"/>
      <family val="2"/>
    </font>
    <font>
      <sz val="11"/>
      <color rgb="FF000000"/>
      <name val="Calibri"/>
      <family val="2"/>
      <scheme val="minor"/>
    </font>
  </fonts>
  <fills count="4">
    <fill>
      <patternFill patternType="none"/>
    </fill>
    <fill>
      <patternFill patternType="gray125"/>
    </fill>
    <fill>
      <patternFill patternType="solid">
        <fgColor rgb="FFFFFFFF"/>
        <bgColor rgb="FFFFFFFF"/>
      </patternFill>
    </fill>
    <fill>
      <patternFill patternType="solid">
        <fgColor rgb="FF000080"/>
        <bgColor rgb="FF000080"/>
      </patternFill>
    </fill>
  </fills>
  <borders count="50">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25">
    <xf numFmtId="0" fontId="0" fillId="0" borderId="0" xfId="0" applyFont="1" applyAlignment="1"/>
    <xf numFmtId="0" fontId="1" fillId="0" borderId="0" xfId="0" applyFont="1" applyAlignme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applyAlignment="1"/>
    <xf numFmtId="0" fontId="5" fillId="2" borderId="5" xfId="0" applyFont="1" applyFill="1" applyBorder="1" applyAlignment="1">
      <alignment horizontal="left"/>
    </xf>
    <xf numFmtId="0" fontId="1" fillId="0" borderId="4" xfId="0" applyFont="1" applyBorder="1" applyAlignment="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applyAlignment="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1" fillId="2" borderId="1" xfId="0" applyFont="1" applyFill="1" applyBorder="1" applyAlignment="1">
      <alignment wrapText="1"/>
    </xf>
    <xf numFmtId="0" fontId="12" fillId="2" borderId="25" xfId="0" applyFont="1" applyFill="1" applyBorder="1" applyAlignment="1"/>
    <xf numFmtId="0" fontId="12" fillId="2" borderId="1" xfId="0" applyFont="1" applyFill="1" applyBorder="1" applyAlignment="1">
      <alignment wrapText="1"/>
    </xf>
    <xf numFmtId="0" fontId="10" fillId="2" borderId="1" xfId="0" applyFont="1" applyFill="1" applyBorder="1" applyAlignment="1">
      <alignment wrapText="1"/>
    </xf>
    <xf numFmtId="0" fontId="13" fillId="2" borderId="1" xfId="0" applyFont="1" applyFill="1" applyBorder="1" applyAlignment="1">
      <alignment wrapText="1"/>
    </xf>
    <xf numFmtId="0" fontId="12" fillId="2" borderId="1" xfId="0" applyFont="1" applyFill="1" applyBorder="1" applyAlignment="1"/>
    <xf numFmtId="0" fontId="10" fillId="2" borderId="26" xfId="0" applyFont="1" applyFill="1" applyBorder="1" applyAlignment="1">
      <alignment horizontal="left" wrapText="1"/>
    </xf>
    <xf numFmtId="0" fontId="10" fillId="2" borderId="27" xfId="0" applyFont="1" applyFill="1" applyBorder="1" applyAlignment="1">
      <alignment horizontal="left" wrapText="1"/>
    </xf>
    <xf numFmtId="0" fontId="8" fillId="2" borderId="27" xfId="0" applyFont="1" applyFill="1" applyBorder="1" applyAlignment="1">
      <alignment horizontal="center" vertical="center"/>
    </xf>
    <xf numFmtId="0" fontId="8" fillId="2" borderId="5" xfId="0" applyFont="1" applyFill="1" applyBorder="1" applyAlignment="1">
      <alignment horizontal="center" vertical="center" wrapText="1"/>
    </xf>
    <xf numFmtId="0" fontId="8" fillId="2" borderId="5" xfId="0" applyFont="1" applyFill="1" applyBorder="1" applyAlignment="1">
      <alignment vertical="center" wrapText="1"/>
    </xf>
    <xf numFmtId="0" fontId="13" fillId="2" borderId="1" xfId="0" applyFont="1" applyFill="1" applyBorder="1" applyAlignment="1">
      <alignment horizontal="center" wrapText="1"/>
    </xf>
    <xf numFmtId="0" fontId="12" fillId="2" borderId="28" xfId="0" applyFont="1" applyFill="1" applyBorder="1" applyAlignment="1">
      <alignment horizontal="center" vertical="center"/>
    </xf>
    <xf numFmtId="0" fontId="12" fillId="2" borderId="1" xfId="0" applyFont="1" applyFill="1" applyBorder="1" applyAlignment="1">
      <alignment horizontal="center" wrapText="1"/>
    </xf>
    <xf numFmtId="0" fontId="1" fillId="2" borderId="1" xfId="0" applyFont="1" applyFill="1" applyBorder="1" applyAlignment="1">
      <alignment horizontal="center" wrapText="1"/>
    </xf>
    <xf numFmtId="0" fontId="7" fillId="3" borderId="29" xfId="0" applyFont="1" applyFill="1" applyBorder="1" applyAlignment="1">
      <alignment horizontal="center" vertical="center" wrapText="1"/>
    </xf>
    <xf numFmtId="0" fontId="7" fillId="3" borderId="3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 fillId="2" borderId="32" xfId="0" applyFont="1" applyFill="1" applyBorder="1" applyAlignment="1">
      <alignment vertical="top" wrapText="1"/>
    </xf>
    <xf numFmtId="0" fontId="13" fillId="2" borderId="1" xfId="0" applyFont="1" applyFill="1" applyBorder="1" applyAlignment="1">
      <alignment vertical="top" wrapText="1"/>
    </xf>
    <xf numFmtId="0" fontId="9" fillId="2" borderId="1" xfId="0" applyFont="1" applyFill="1" applyBorder="1" applyAlignment="1">
      <alignment horizontal="left" vertical="center"/>
    </xf>
    <xf numFmtId="0" fontId="13" fillId="2" borderId="1" xfId="0" applyFont="1" applyFill="1" applyBorder="1" applyAlignment="1"/>
    <xf numFmtId="0" fontId="1" fillId="2" borderId="5" xfId="0" applyFont="1" applyFill="1" applyBorder="1" applyAlignment="1">
      <alignment vertical="top" wrapText="1"/>
    </xf>
    <xf numFmtId="0" fontId="11" fillId="0" borderId="5" xfId="0" applyFont="1" applyBorder="1" applyAlignment="1">
      <alignment horizontal="left" vertical="top" wrapText="1"/>
    </xf>
    <xf numFmtId="0" fontId="10" fillId="2" borderId="1" xfId="0" applyFont="1" applyFill="1" applyBorder="1" applyAlignment="1"/>
    <xf numFmtId="15" fontId="1" fillId="2" borderId="1" xfId="0" applyNumberFormat="1" applyFont="1" applyFill="1" applyBorder="1" applyAlignment="1"/>
    <xf numFmtId="0" fontId="5" fillId="2" borderId="5" xfId="0" applyFont="1" applyFill="1" applyBorder="1" applyAlignment="1">
      <alignment horizontal="left" vertical="center"/>
    </xf>
    <xf numFmtId="0" fontId="5" fillId="2" borderId="32" xfId="0" applyFont="1" applyFill="1" applyBorder="1" applyAlignment="1">
      <alignment horizontal="left"/>
    </xf>
    <xf numFmtId="0" fontId="1" fillId="2" borderId="32" xfId="0" applyFont="1" applyFill="1" applyBorder="1" applyAlignment="1">
      <alignment vertical="top"/>
    </xf>
    <xf numFmtId="0" fontId="5" fillId="2" borderId="5" xfId="0" applyFont="1" applyFill="1" applyBorder="1" applyAlignment="1">
      <alignment vertical="center"/>
    </xf>
    <xf numFmtId="14" fontId="5" fillId="2" borderId="32" xfId="0" applyNumberFormat="1" applyFont="1" applyFill="1" applyBorder="1" applyAlignment="1">
      <alignment horizontal="left"/>
    </xf>
    <xf numFmtId="0" fontId="6" fillId="2" borderId="32" xfId="0" applyFont="1" applyFill="1" applyBorder="1" applyAlignment="1">
      <alignment vertical="top"/>
    </xf>
    <xf numFmtId="0" fontId="6" fillId="2" borderId="1" xfId="0" applyFont="1" applyFill="1" applyBorder="1" applyAlignment="1"/>
    <xf numFmtId="0" fontId="1" fillId="2" borderId="36" xfId="0" applyFont="1" applyFill="1" applyBorder="1" applyAlignment="1"/>
    <xf numFmtId="0" fontId="7" fillId="3" borderId="37"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38" xfId="0" applyFont="1" applyFill="1" applyBorder="1" applyAlignment="1">
      <alignment horizontal="center" wrapText="1"/>
    </xf>
    <xf numFmtId="0" fontId="1" fillId="2" borderId="39" xfId="0" applyFont="1" applyFill="1" applyBorder="1" applyAlignment="1">
      <alignment horizontal="center"/>
    </xf>
    <xf numFmtId="0" fontId="1" fillId="2" borderId="18" xfId="0" applyFont="1" applyFill="1" applyBorder="1" applyAlignment="1"/>
    <xf numFmtId="0" fontId="1" fillId="2" borderId="18" xfId="0" applyFont="1" applyFill="1" applyBorder="1" applyAlignment="1">
      <alignment horizontal="center"/>
    </xf>
    <xf numFmtId="0" fontId="1" fillId="2" borderId="40" xfId="0" applyFont="1" applyFill="1" applyBorder="1" applyAlignment="1">
      <alignment horizontal="center"/>
    </xf>
    <xf numFmtId="0" fontId="14" fillId="3" borderId="41" xfId="0" applyFont="1" applyFill="1" applyBorder="1" applyAlignment="1">
      <alignment horizontal="center"/>
    </xf>
    <xf numFmtId="0" fontId="7" fillId="3" borderId="21" xfId="0" applyFont="1" applyFill="1" applyBorder="1" applyAlignment="1"/>
    <xf numFmtId="0" fontId="14" fillId="3" borderId="21" xfId="0" applyFont="1" applyFill="1" applyBorder="1" applyAlignment="1">
      <alignment horizontal="center"/>
    </xf>
    <xf numFmtId="0" fontId="14" fillId="3" borderId="42"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15" fillId="2" borderId="1" xfId="0" applyNumberFormat="1" applyFont="1" applyFill="1" applyBorder="1" applyAlignment="1">
      <alignment horizontal="right" wrapText="1"/>
    </xf>
    <xf numFmtId="0" fontId="16" fillId="2" borderId="32" xfId="0" applyFont="1" applyFill="1" applyBorder="1" applyAlignment="1">
      <alignment vertical="top" wrapText="1"/>
    </xf>
    <xf numFmtId="0" fontId="17" fillId="0" borderId="5" xfId="0" applyFont="1" applyBorder="1" applyAlignment="1">
      <alignment horizontal="left" vertical="top" wrapText="1"/>
    </xf>
    <xf numFmtId="0" fontId="19" fillId="3" borderId="30" xfId="0" applyFont="1" applyFill="1" applyBorder="1" applyAlignment="1">
      <alignment horizontal="center" vertical="center" wrapText="1"/>
    </xf>
    <xf numFmtId="0" fontId="1" fillId="2" borderId="35" xfId="0" applyFont="1" applyFill="1" applyBorder="1" applyAlignment="1"/>
    <xf numFmtId="0" fontId="12" fillId="2" borderId="35" xfId="0" applyFont="1" applyFill="1" applyBorder="1" applyAlignment="1">
      <alignment wrapText="1"/>
    </xf>
    <xf numFmtId="0" fontId="12" fillId="2" borderId="35" xfId="0" applyFont="1" applyFill="1" applyBorder="1" applyAlignment="1"/>
    <xf numFmtId="0" fontId="7" fillId="3" borderId="44" xfId="0" applyFont="1" applyFill="1" applyBorder="1" applyAlignment="1">
      <alignment horizontal="center" vertical="center" wrapText="1"/>
    </xf>
    <xf numFmtId="0" fontId="19" fillId="3" borderId="31" xfId="0" applyFont="1" applyFill="1" applyBorder="1" applyAlignment="1">
      <alignment horizontal="center" vertical="center" wrapText="1"/>
    </xf>
    <xf numFmtId="0" fontId="16" fillId="2" borderId="43" xfId="0" applyFont="1" applyFill="1" applyBorder="1" applyAlignment="1">
      <alignment vertical="top" wrapText="1"/>
    </xf>
    <xf numFmtId="0" fontId="17" fillId="0" borderId="43" xfId="0" applyFont="1" applyBorder="1" applyAlignment="1">
      <alignment horizontal="left" vertical="top" wrapText="1"/>
    </xf>
    <xf numFmtId="0" fontId="0" fillId="0" borderId="43" xfId="0" applyFont="1" applyBorder="1" applyAlignment="1"/>
    <xf numFmtId="0" fontId="11" fillId="0" borderId="43" xfId="0" applyFont="1" applyBorder="1" applyAlignment="1">
      <alignment horizontal="left" vertical="top" wrapText="1"/>
    </xf>
    <xf numFmtId="0" fontId="1" fillId="2" borderId="43" xfId="0" applyFont="1" applyFill="1" applyBorder="1" applyAlignment="1">
      <alignment vertical="top" wrapText="1"/>
    </xf>
    <xf numFmtId="0" fontId="20" fillId="2" borderId="5"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19" fillId="3" borderId="46" xfId="0" applyFont="1" applyFill="1" applyBorder="1" applyAlignment="1">
      <alignment horizontal="center" vertical="center" wrapText="1"/>
    </xf>
    <xf numFmtId="0" fontId="7" fillId="3" borderId="47" xfId="0" applyFont="1" applyFill="1" applyBorder="1" applyAlignment="1">
      <alignment horizontal="center" vertical="center" wrapText="1"/>
    </xf>
    <xf numFmtId="0" fontId="16" fillId="2" borderId="48" xfId="0" applyFont="1" applyFill="1" applyBorder="1" applyAlignment="1">
      <alignment vertical="top" wrapText="1"/>
    </xf>
    <xf numFmtId="0" fontId="1" fillId="2" borderId="49" xfId="0" applyFont="1" applyFill="1" applyBorder="1" applyAlignment="1">
      <alignment vertical="top" wrapText="1"/>
    </xf>
    <xf numFmtId="0" fontId="21" fillId="0" borderId="43" xfId="0" applyFont="1" applyBorder="1" applyAlignment="1">
      <alignment wrapText="1"/>
    </xf>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0" fontId="18" fillId="2" borderId="2" xfId="0" applyFont="1" applyFill="1" applyBorder="1" applyAlignment="1">
      <alignment horizontal="left" vertical="center" wrapText="1"/>
    </xf>
    <xf numFmtId="0" fontId="18" fillId="2" borderId="23" xfId="0" applyFont="1" applyFill="1" applyBorder="1" applyAlignment="1">
      <alignment horizontal="left" vertical="center" wrapText="1"/>
    </xf>
    <xf numFmtId="0" fontId="6" fillId="2" borderId="2" xfId="0" applyFont="1" applyFill="1" applyBorder="1" applyAlignment="1">
      <alignment horizontal="left" vertical="center" wrapText="1"/>
    </xf>
    <xf numFmtId="0" fontId="6" fillId="2" borderId="23"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2" fillId="2" borderId="2" xfId="0" applyFont="1" applyFill="1" applyBorder="1" applyAlignment="1">
      <alignment horizontal="center" vertical="center" wrapText="1"/>
    </xf>
    <xf numFmtId="0" fontId="6" fillId="2" borderId="2" xfId="0" applyFont="1" applyFill="1" applyBorder="1" applyAlignment="1">
      <alignment horizontal="left"/>
    </xf>
    <xf numFmtId="0" fontId="5" fillId="2" borderId="2" xfId="0" applyFont="1" applyFill="1" applyBorder="1" applyAlignment="1">
      <alignment horizontal="left"/>
    </xf>
    <xf numFmtId="0" fontId="6" fillId="2" borderId="2" xfId="0" applyFont="1" applyFill="1" applyBorder="1" applyAlignment="1">
      <alignment vertical="top" wrapText="1"/>
    </xf>
    <xf numFmtId="0" fontId="3" fillId="2" borderId="33" xfId="0" applyFont="1" applyFill="1" applyBorder="1" applyAlignment="1">
      <alignment horizontal="center"/>
    </xf>
    <xf numFmtId="0" fontId="4" fillId="0" borderId="34" xfId="0" applyFont="1" applyBorder="1"/>
    <xf numFmtId="0" fontId="4" fillId="0" borderId="35" xfId="0" applyFont="1" applyBorder="1"/>
    <xf numFmtId="0" fontId="0" fillId="0" borderId="0" xfId="0" applyFont="1" applyAlignment="1">
      <alignment wrapText="1"/>
    </xf>
  </cellXfs>
  <cellStyles count="1">
    <cellStyle name="Normal" xfId="0" builtinId="0"/>
  </cellStyles>
  <dxfs count="29">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tableStyleElement type="headerRow" dxfId="28"/>
      <tableStyleElement type="totalRow" dxfId="27"/>
      <tableStyleElement type="firstRowStripe" dxfId="26"/>
      <tableStyleElement type="secondRowStripe" dxfId="25"/>
    </tableStyle>
    <tableStyle name="List Organisation-style" pivot="0" count="4">
      <tableStyleElement type="headerRow" dxfId="24"/>
      <tableStyleElement type="totalRow" dxfId="23"/>
      <tableStyleElement type="firstRowStripe" dxfId="22"/>
      <tableStyleElement type="secondRowStripe" dxfId="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id="1" name="Table_1" displayName="Table_1" ref="A8:F18">
  <tableColumns count="6">
    <tableColumn id="1" name="ID" dataDxfId="20">
      <calculatedColumnFormula>IF(OR(B9&lt;&gt;"",D9&lt;&gt;""),"["&amp;TEXT($B$2,"##")&amp;"-"&amp;TEXT(ROW()-8,"##")&amp;"]","")</calculatedColumnFormula>
    </tableColumn>
    <tableColumn id="2" name="Test Case Description" dataDxfId="19"/>
    <tableColumn id="9" name="Precondition" dataDxfId="18"/>
    <tableColumn id="3" name="Test Case Procedure" dataDxfId="17"/>
    <tableColumn id="4" name="Expected Output" dataDxfId="16"/>
    <tableColumn id="6" name="Result" dataDxfId="15"/>
  </tableColumns>
  <tableStyleInfo name="Login-Logout-style" showFirstColumn="1" showLastColumn="1" showRowStripes="1" showColumnStripes="0"/>
</table>
</file>

<file path=xl/tables/table2.xml><?xml version="1.0" encoding="utf-8"?>
<table xmlns="http://schemas.openxmlformats.org/spreadsheetml/2006/main" id="5" name="Table_16" displayName="Table_16" ref="A8:F18">
  <tableColumns count="6">
    <tableColumn id="1" name="ID"/>
    <tableColumn id="2" name="Test Case Description"/>
    <tableColumn id="9" name="Precondition" dataDxfId="14"/>
    <tableColumn id="3" name="Test Case Procedure"/>
    <tableColumn id="4" name="Expected Output"/>
    <tableColumn id="6" name="Result"/>
  </tableColumns>
  <tableStyleInfo name="Login-Logout-style" showFirstColumn="1" showLastColumn="1" showRowStripes="1" showColumnStripes="0"/>
</table>
</file>

<file path=xl/tables/table3.xml><?xml version="1.0" encoding="utf-8"?>
<table xmlns="http://schemas.openxmlformats.org/spreadsheetml/2006/main" id="4" name="Table_15" displayName="Table_15" ref="A8:F12" headerRowDxfId="13" totalsRowDxfId="10" headerRowBorderDxfId="12" tableBorderDxfId="11">
  <tableColumns count="6">
    <tableColumn id="1" name="ID" dataDxfId="9">
      <calculatedColumnFormula>IF(OR(B9&lt;&gt;"",D9&lt;&gt;""),"["&amp;TEXT($B$2,"##")&amp;"-"&amp;TEXT(ROW()-8,"##")&amp;"]","")</calculatedColumnFormula>
    </tableColumn>
    <tableColumn id="2" name="Test Case Description" dataDxfId="8"/>
    <tableColumn id="9" name="Precondition" dataDxfId="7"/>
    <tableColumn id="3" name="Test Case Procedure" dataDxfId="6"/>
    <tableColumn id="4" name="Expected Output" dataDxfId="5"/>
    <tableColumn id="6" name="Result" dataDxfId="4"/>
  </tableColumns>
  <tableStyleInfo name="Login-Logout-style" showFirstColumn="1" showLastColumn="1" showRowStripes="1" showColumnStripes="0"/>
</table>
</file>

<file path=xl/tables/table4.xml><?xml version="1.0" encoding="utf-8"?>
<table xmlns="http://schemas.openxmlformats.org/spreadsheetml/2006/main" id="3" name="Table_14" displayName="Table_14" ref="A8:F15">
  <tableColumns count="6">
    <tableColumn id="1" name="ID">
      <calculatedColumnFormula>IF(OR(B9&lt;&gt;"",D9&lt;&gt;""),"["&amp;TEXT($B$2,"##")&amp;"-"&amp;TEXT(ROW()-8,"##")&amp;"]","")</calculatedColumnFormula>
    </tableColumn>
    <tableColumn id="2" name="Test Case Description"/>
    <tableColumn id="9" name="Precondition" dataDxfId="3"/>
    <tableColumn id="3" name="Test Case Procedure"/>
    <tableColumn id="4" name="Expected Output"/>
    <tableColumn id="6" name="Result"/>
  </tableColumns>
  <tableStyleInfo name="Login-Logout-style" showFirstColumn="1" showLastColumn="1" showRowStripes="1" showColumnStripes="0"/>
</table>
</file>

<file path=xl/tables/table5.xml><?xml version="1.0" encoding="utf-8"?>
<table xmlns="http://schemas.openxmlformats.org/spreadsheetml/2006/main" id="2" name="Table_13" displayName="Table_13" ref="A8:F18">
  <tableColumns count="6">
    <tableColumn id="1" name="ID">
      <calculatedColumnFormula>IF(OR(B9&lt;&gt;"",D9&lt;&gt;""),"["&amp;TEXT($B$2,"##")&amp;"-"&amp;TEXT(ROW()-8,"##")&amp;"]","")</calculatedColumnFormula>
    </tableColumn>
    <tableColumn id="2" name="Test Case Description"/>
    <tableColumn id="9" name="Precondition" dataDxfId="2"/>
    <tableColumn id="3" name="Test Case Procedure"/>
    <tableColumn id="4" name="Expected Output"/>
    <tableColumn id="6" name="Result"/>
  </tableColumns>
  <tableStyleInfo name="Login-Logout-style" showFirstColumn="1" showLastColumn="1" showRowStripes="1" showColumnStripes="0"/>
</table>
</file>

<file path=xl/tables/table6.xml><?xml version="1.0" encoding="utf-8"?>
<table xmlns="http://schemas.openxmlformats.org/spreadsheetml/2006/main" id="7" name="Table_138" displayName="Table_138" ref="A8:F11">
  <tableColumns count="6">
    <tableColumn id="1" name="ID">
      <calculatedColumnFormula>IF(OR(B9&lt;&gt;"",D9&lt;&gt;""),"["&amp;TEXT($B$2,"##")&amp;"-"&amp;TEXT(ROW()-8,"##")&amp;"]","")</calculatedColumnFormula>
    </tableColumn>
    <tableColumn id="2" name="Test Case Description"/>
    <tableColumn id="9" name="Precondition" dataDxfId="1"/>
    <tableColumn id="3" name="Test Case Procedure"/>
    <tableColumn id="4" name="Expected Output"/>
    <tableColumn id="6" name="Result"/>
  </tableColumns>
  <tableStyleInfo name="Login-Logout-style" showFirstColumn="1" showLastColumn="1" showRowStripes="1" showColumnStripes="0"/>
</table>
</file>

<file path=xl/tables/table7.xml><?xml version="1.0" encoding="utf-8"?>
<table xmlns="http://schemas.openxmlformats.org/spreadsheetml/2006/main" id="8" name="Table_1389" displayName="Table_1389" ref="A8:F11">
  <tableColumns count="6">
    <tableColumn id="1" name="ID">
      <calculatedColumnFormula>IF(OR(B9&lt;&gt;"",D9&lt;&gt;""),"["&amp;TEXT($B$2,"##")&amp;"-"&amp;TEXT(ROW()-8,"##")&amp;"]","")</calculatedColumnFormula>
    </tableColumn>
    <tableColumn id="2" name="Test Case Description"/>
    <tableColumn id="9" name="Precondition" dataDxfId="0"/>
    <tableColumn id="3" name="Test Case Procedure"/>
    <tableColumn id="4" name="Expected Output"/>
    <tableColumn id="6" name="Result"/>
  </tableColumns>
  <tableStyleInfo name="Login-Logout-style" showFirstColumn="1" showLastColumn="1" showRowStripes="1" showColumnStripes="0"/>
</table>
</file>

<file path=xl/tables/table8.xml><?xml version="1.0" encoding="utf-8"?>
<table xmlns="http://schemas.openxmlformats.org/spreadsheetml/2006/main" id="6" name="Table6" displayName="Table6" ref="A1:L4" totalsRowShown="0">
  <autoFilter ref="A1:L4"/>
  <tableColumns count="12">
    <tableColumn id="1" name="Test case ID"/>
    <tableColumn id="2" name="Test Case Description"/>
    <tableColumn id="3" name="Defect Description"/>
    <tableColumn id="4" name="Expected Result"/>
    <tableColumn id="5" name="Actual Result"/>
    <tableColumn id="6" name="Severity"/>
    <tableColumn id="7" name="Priority"/>
    <tableColumn id="8" name="Status"/>
    <tableColumn id="9" name="Assigned To"/>
    <tableColumn id="10" name="Notes"/>
    <tableColumn id="11" name="Column1"/>
    <tableColumn id="12" name="Column2"/>
  </tableColumns>
  <tableStyleInfo name="Login-Logout-style"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3.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4.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5.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B12" sqref="B12"/>
    </sheetView>
  </sheetViews>
  <sheetFormatPr defaultColWidth="14.42578125" defaultRowHeight="15" customHeight="1"/>
  <cols>
    <col min="1" max="1" width="2.42578125" customWidth="1"/>
    <col min="2" max="2" width="22.42578125" customWidth="1"/>
    <col min="3" max="3" width="10.42578125" customWidth="1"/>
    <col min="4" max="4" width="16.5703125" customWidth="1"/>
    <col min="5" max="5" width="9.140625" customWidth="1"/>
    <col min="6" max="6" width="35.5703125" customWidth="1"/>
    <col min="7" max="7" width="35.42578125" customWidth="1"/>
    <col min="8" max="26" width="11.42578125" customWidth="1"/>
  </cols>
  <sheetData>
    <row r="1" spans="1:26" ht="12.75" customHeight="1">
      <c r="A1" s="1"/>
      <c r="B1" s="2"/>
      <c r="C1" s="1"/>
      <c r="D1" s="1"/>
      <c r="E1" s="1"/>
      <c r="F1" s="1"/>
      <c r="G1" s="1"/>
      <c r="H1" s="1"/>
      <c r="I1" s="1"/>
      <c r="J1" s="1"/>
      <c r="K1" s="1"/>
      <c r="L1" s="1"/>
      <c r="M1" s="1"/>
      <c r="N1" s="1"/>
      <c r="O1" s="1"/>
      <c r="P1" s="1"/>
      <c r="Q1" s="1"/>
      <c r="R1" s="1"/>
      <c r="S1" s="1"/>
      <c r="T1" s="1"/>
      <c r="U1" s="1"/>
      <c r="V1" s="1"/>
      <c r="W1" s="1"/>
      <c r="X1" s="1"/>
      <c r="Y1" s="1"/>
      <c r="Z1" s="1"/>
    </row>
    <row r="2" spans="1:26" ht="75.75" customHeight="1">
      <c r="A2" s="3"/>
      <c r="B2" s="100" t="s">
        <v>0</v>
      </c>
      <c r="C2" s="101"/>
      <c r="D2" s="101"/>
      <c r="E2" s="101"/>
      <c r="F2" s="101"/>
      <c r="G2" s="102"/>
      <c r="H2" s="4"/>
      <c r="I2" s="4"/>
      <c r="J2" s="4"/>
      <c r="K2" s="4"/>
      <c r="L2" s="4"/>
      <c r="M2" s="4"/>
      <c r="N2" s="4"/>
      <c r="O2" s="4"/>
      <c r="P2" s="4"/>
      <c r="Q2" s="4"/>
      <c r="R2" s="4"/>
      <c r="S2" s="4"/>
      <c r="T2" s="4"/>
      <c r="U2" s="4"/>
      <c r="V2" s="4"/>
      <c r="W2" s="4"/>
      <c r="X2" s="4"/>
      <c r="Y2" s="4"/>
      <c r="Z2" s="4"/>
    </row>
    <row r="3" spans="1:26" ht="12.75" customHeight="1">
      <c r="A3" s="1"/>
      <c r="B3" s="5"/>
      <c r="C3" s="6"/>
      <c r="D3" s="1"/>
      <c r="E3" s="1"/>
      <c r="F3" s="7"/>
      <c r="G3" s="1"/>
      <c r="H3" s="1"/>
      <c r="I3" s="1"/>
      <c r="J3" s="1"/>
      <c r="K3" s="1"/>
      <c r="L3" s="1"/>
      <c r="M3" s="1"/>
      <c r="N3" s="1"/>
      <c r="O3" s="1"/>
      <c r="P3" s="1"/>
      <c r="Q3" s="1"/>
      <c r="R3" s="1"/>
      <c r="S3" s="1"/>
      <c r="T3" s="1"/>
      <c r="U3" s="1"/>
      <c r="V3" s="1"/>
      <c r="W3" s="1"/>
      <c r="X3" s="1"/>
      <c r="Y3" s="1"/>
      <c r="Z3" s="1"/>
    </row>
    <row r="4" spans="1:26" ht="14.25" customHeight="1">
      <c r="A4" s="1"/>
      <c r="B4" s="8" t="s">
        <v>1</v>
      </c>
      <c r="C4" s="103" t="s">
        <v>44</v>
      </c>
      <c r="D4" s="101"/>
      <c r="E4" s="102"/>
      <c r="F4" s="8" t="s">
        <v>2</v>
      </c>
      <c r="G4" s="9" t="s">
        <v>43</v>
      </c>
      <c r="H4" s="1"/>
      <c r="I4" s="1"/>
      <c r="J4" s="1"/>
      <c r="K4" s="1"/>
      <c r="L4" s="1"/>
      <c r="M4" s="1"/>
      <c r="N4" s="1"/>
      <c r="O4" s="1"/>
      <c r="P4" s="1"/>
      <c r="Q4" s="1"/>
      <c r="R4" s="1"/>
      <c r="S4" s="1"/>
      <c r="T4" s="1"/>
      <c r="U4" s="1"/>
      <c r="V4" s="1"/>
      <c r="W4" s="1"/>
      <c r="X4" s="1"/>
      <c r="Y4" s="1"/>
      <c r="Z4" s="1"/>
    </row>
    <row r="5" spans="1:26" ht="14.25" customHeight="1">
      <c r="A5" s="1"/>
      <c r="B5" s="8" t="s">
        <v>3</v>
      </c>
      <c r="C5" s="103" t="s">
        <v>44</v>
      </c>
      <c r="D5" s="101"/>
      <c r="E5" s="102"/>
      <c r="F5" s="8" t="s">
        <v>4</v>
      </c>
      <c r="G5" s="9" t="s">
        <v>43</v>
      </c>
      <c r="H5" s="1"/>
      <c r="I5" s="1"/>
      <c r="J5" s="1"/>
      <c r="K5" s="1"/>
      <c r="L5" s="1"/>
      <c r="M5" s="1"/>
      <c r="N5" s="1"/>
      <c r="O5" s="1"/>
      <c r="P5" s="1"/>
      <c r="Q5" s="1"/>
      <c r="R5" s="1"/>
      <c r="S5" s="1"/>
      <c r="T5" s="1"/>
      <c r="U5" s="1"/>
      <c r="V5" s="1"/>
      <c r="W5" s="1"/>
      <c r="X5" s="1"/>
      <c r="Y5" s="1"/>
      <c r="Z5" s="1"/>
    </row>
    <row r="6" spans="1:26" ht="15.75" customHeight="1">
      <c r="A6" s="1"/>
      <c r="B6" s="104" t="s">
        <v>5</v>
      </c>
      <c r="C6" s="106"/>
      <c r="D6" s="107"/>
      <c r="E6" s="108"/>
      <c r="F6" s="8" t="s">
        <v>6</v>
      </c>
      <c r="G6" s="10"/>
      <c r="H6" s="1"/>
      <c r="I6" s="1"/>
      <c r="J6" s="1"/>
      <c r="K6" s="1"/>
      <c r="L6" s="1"/>
      <c r="M6" s="1"/>
      <c r="N6" s="1"/>
      <c r="O6" s="1"/>
      <c r="P6" s="1"/>
      <c r="Q6" s="1"/>
      <c r="R6" s="1"/>
      <c r="S6" s="1"/>
      <c r="T6" s="1"/>
      <c r="U6" s="1"/>
      <c r="V6" s="1"/>
      <c r="W6" s="1"/>
      <c r="X6" s="1"/>
      <c r="Y6" s="1"/>
      <c r="Z6" s="1"/>
    </row>
    <row r="7" spans="1:26" ht="13.5" customHeight="1">
      <c r="A7" s="1"/>
      <c r="B7" s="105"/>
      <c r="C7" s="109"/>
      <c r="D7" s="110"/>
      <c r="E7" s="111"/>
      <c r="F7" s="8" t="s">
        <v>7</v>
      </c>
      <c r="G7" s="11">
        <v>0.1</v>
      </c>
      <c r="H7" s="1"/>
      <c r="I7" s="1"/>
      <c r="J7" s="1"/>
      <c r="K7" s="1"/>
      <c r="L7" s="1"/>
      <c r="M7" s="1"/>
      <c r="N7" s="1"/>
      <c r="O7" s="1"/>
      <c r="P7" s="1"/>
      <c r="Q7" s="1"/>
      <c r="R7" s="1"/>
      <c r="S7" s="1"/>
      <c r="T7" s="1"/>
      <c r="U7" s="1"/>
      <c r="V7" s="1"/>
      <c r="W7" s="1"/>
      <c r="X7" s="1"/>
      <c r="Y7" s="1"/>
      <c r="Z7" s="1"/>
    </row>
    <row r="8" spans="1:26" ht="12.75" customHeight="1">
      <c r="A8" s="1"/>
      <c r="B8" s="12"/>
      <c r="C8" s="6"/>
      <c r="D8" s="1"/>
      <c r="E8" s="1"/>
      <c r="F8" s="5"/>
      <c r="G8" s="6"/>
      <c r="H8" s="1"/>
      <c r="I8" s="1"/>
      <c r="J8" s="1"/>
      <c r="K8" s="1"/>
      <c r="L8" s="1"/>
      <c r="M8" s="1"/>
      <c r="N8" s="1"/>
      <c r="O8" s="1"/>
      <c r="P8" s="1"/>
      <c r="Q8" s="1"/>
      <c r="R8" s="1"/>
      <c r="S8" s="1"/>
      <c r="T8" s="1"/>
      <c r="U8" s="1"/>
      <c r="V8" s="1"/>
      <c r="W8" s="1"/>
      <c r="X8" s="1"/>
      <c r="Y8" s="1"/>
      <c r="Z8" s="1"/>
    </row>
    <row r="9" spans="1:26" ht="12.75" customHeight="1">
      <c r="A9" s="1"/>
      <c r="B9" s="2"/>
      <c r="C9" s="1"/>
      <c r="D9" s="1"/>
      <c r="E9" s="1"/>
      <c r="F9" s="1"/>
      <c r="G9" s="1"/>
      <c r="H9" s="1"/>
      <c r="I9" s="1"/>
      <c r="J9" s="1"/>
      <c r="K9" s="1"/>
      <c r="L9" s="1"/>
      <c r="M9" s="1"/>
      <c r="N9" s="1"/>
      <c r="O9" s="1"/>
      <c r="P9" s="1"/>
      <c r="Q9" s="1"/>
      <c r="R9" s="1"/>
      <c r="S9" s="1"/>
      <c r="T9" s="1"/>
      <c r="U9" s="1"/>
      <c r="V9" s="1"/>
      <c r="W9" s="1"/>
      <c r="X9" s="1"/>
      <c r="Y9" s="1"/>
      <c r="Z9" s="1"/>
    </row>
    <row r="10" spans="1:26" ht="12.75" customHeight="1">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14"/>
      <c r="B11" s="15" t="s">
        <v>9</v>
      </c>
      <c r="C11" s="16" t="s">
        <v>7</v>
      </c>
      <c r="D11" s="16" t="s">
        <v>10</v>
      </c>
      <c r="E11" s="16" t="s">
        <v>11</v>
      </c>
      <c r="F11" s="16" t="s">
        <v>12</v>
      </c>
      <c r="G11" s="17" t="s">
        <v>13</v>
      </c>
      <c r="H11" s="14"/>
      <c r="I11" s="14"/>
      <c r="J11" s="14"/>
      <c r="K11" s="14"/>
      <c r="L11" s="14"/>
      <c r="M11" s="14"/>
      <c r="N11" s="14"/>
      <c r="O11" s="14"/>
      <c r="P11" s="14"/>
      <c r="Q11" s="14"/>
      <c r="R11" s="14"/>
      <c r="S11" s="14"/>
      <c r="T11" s="14"/>
      <c r="U11" s="14"/>
      <c r="V11" s="14"/>
      <c r="W11" s="14"/>
      <c r="X11" s="14"/>
      <c r="Y11" s="14"/>
      <c r="Z11" s="14"/>
    </row>
    <row r="12" spans="1:26" ht="27.75" customHeight="1">
      <c r="A12" s="18"/>
      <c r="B12" s="19"/>
      <c r="C12" s="20" t="s">
        <v>14</v>
      </c>
      <c r="D12" s="18"/>
      <c r="E12" s="21" t="s">
        <v>15</v>
      </c>
      <c r="F12" s="21" t="s">
        <v>16</v>
      </c>
      <c r="G12" s="22" t="s">
        <v>17</v>
      </c>
      <c r="H12" s="18"/>
      <c r="I12" s="18"/>
      <c r="J12" s="18"/>
      <c r="K12" s="18"/>
      <c r="L12" s="18"/>
      <c r="M12" s="18"/>
      <c r="N12" s="18"/>
      <c r="O12" s="18"/>
      <c r="P12" s="18"/>
      <c r="Q12" s="18"/>
      <c r="R12" s="18"/>
      <c r="S12" s="18"/>
      <c r="T12" s="18"/>
      <c r="U12" s="18"/>
      <c r="V12" s="18"/>
      <c r="W12" s="18"/>
      <c r="X12" s="18"/>
      <c r="Y12" s="18"/>
      <c r="Z12" s="18"/>
    </row>
    <row r="13" spans="1:26" ht="21.75" customHeight="1">
      <c r="A13" s="18"/>
      <c r="B13" s="23"/>
      <c r="C13" s="20"/>
      <c r="D13" s="21"/>
      <c r="E13" s="21"/>
      <c r="F13" s="21"/>
      <c r="G13" s="24"/>
      <c r="H13" s="18"/>
      <c r="I13" s="18"/>
      <c r="J13" s="18"/>
      <c r="K13" s="18"/>
      <c r="L13" s="18"/>
      <c r="M13" s="18"/>
      <c r="N13" s="18"/>
      <c r="O13" s="18"/>
      <c r="P13" s="18"/>
      <c r="Q13" s="18"/>
      <c r="R13" s="18"/>
      <c r="S13" s="18"/>
      <c r="T13" s="18"/>
      <c r="U13" s="18"/>
      <c r="V13" s="18"/>
      <c r="W13" s="18"/>
      <c r="X13" s="18"/>
      <c r="Y13" s="18"/>
      <c r="Z13" s="18"/>
    </row>
    <row r="14" spans="1:26" ht="19.5" customHeight="1">
      <c r="A14" s="18"/>
      <c r="B14" s="23"/>
      <c r="C14" s="20"/>
      <c r="D14" s="21"/>
      <c r="E14" s="21"/>
      <c r="F14" s="21"/>
      <c r="G14" s="24"/>
      <c r="H14" s="18"/>
      <c r="I14" s="18"/>
      <c r="J14" s="18"/>
      <c r="K14" s="18"/>
      <c r="L14" s="18"/>
      <c r="M14" s="18"/>
      <c r="N14" s="18"/>
      <c r="O14" s="18"/>
      <c r="P14" s="18"/>
      <c r="Q14" s="18"/>
      <c r="R14" s="18"/>
      <c r="S14" s="18"/>
      <c r="T14" s="18"/>
      <c r="U14" s="18"/>
      <c r="V14" s="18"/>
      <c r="W14" s="18"/>
      <c r="X14" s="18"/>
      <c r="Y14" s="18"/>
      <c r="Z14" s="18"/>
    </row>
    <row r="15" spans="1:26" ht="21.75" customHeight="1">
      <c r="A15" s="18"/>
      <c r="B15" s="23"/>
      <c r="C15" s="20"/>
      <c r="D15" s="21"/>
      <c r="E15" s="21"/>
      <c r="F15" s="21"/>
      <c r="G15" s="24"/>
      <c r="H15" s="18"/>
      <c r="I15" s="18"/>
      <c r="J15" s="18"/>
      <c r="K15" s="18"/>
      <c r="L15" s="18"/>
      <c r="M15" s="18"/>
      <c r="N15" s="18"/>
      <c r="O15" s="18"/>
      <c r="P15" s="18"/>
      <c r="Q15" s="18"/>
      <c r="R15" s="18"/>
      <c r="S15" s="18"/>
      <c r="T15" s="18"/>
      <c r="U15" s="18"/>
      <c r="V15" s="18"/>
      <c r="W15" s="18"/>
      <c r="X15" s="18"/>
      <c r="Y15" s="18"/>
      <c r="Z15" s="18"/>
    </row>
    <row r="16" spans="1:26" ht="19.5" customHeight="1">
      <c r="A16" s="18"/>
      <c r="B16" s="23"/>
      <c r="C16" s="20"/>
      <c r="D16" s="21"/>
      <c r="E16" s="21"/>
      <c r="F16" s="21"/>
      <c r="G16" s="24"/>
      <c r="H16" s="18"/>
      <c r="I16" s="18"/>
      <c r="J16" s="18"/>
      <c r="K16" s="18"/>
      <c r="L16" s="18"/>
      <c r="M16" s="18"/>
      <c r="N16" s="18"/>
      <c r="O16" s="18"/>
      <c r="P16" s="18"/>
      <c r="Q16" s="18"/>
      <c r="R16" s="18"/>
      <c r="S16" s="18"/>
      <c r="T16" s="18"/>
      <c r="U16" s="18"/>
      <c r="V16" s="18"/>
      <c r="W16" s="18"/>
      <c r="X16" s="18"/>
      <c r="Y16" s="18"/>
      <c r="Z16" s="18"/>
    </row>
    <row r="17" spans="1:26" ht="21.75" customHeight="1">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A4" workbookViewId="0">
      <selection activeCell="F18" sqref="F18"/>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169</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154</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COUNTIF($F$8:$F$970,K2)</f>
        <v>8</v>
      </c>
      <c r="C6" s="41">
        <f>COUNTIF($F$8:$F$970,K3)</f>
        <v>2</v>
      </c>
      <c r="D6" s="41">
        <f>COUNTIF($F$8:$F$970,K5)</f>
        <v>0</v>
      </c>
      <c r="E6" s="41">
        <f>COUNTIF($F$8:$F$970,K4)</f>
        <v>0</v>
      </c>
      <c r="F6" s="41">
        <f>COUNTIF($F$8:$F$970,K6)</f>
        <v>0</v>
      </c>
      <c r="G6" s="117">
        <f>COUNTA(A9:A976)</f>
        <v>10</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86" t="s">
        <v>28</v>
      </c>
      <c r="B8" s="87" t="s">
        <v>29</v>
      </c>
      <c r="C8" s="87" t="s">
        <v>47</v>
      </c>
      <c r="D8" s="87" t="s">
        <v>30</v>
      </c>
      <c r="E8" s="87" t="s">
        <v>31</v>
      </c>
      <c r="F8" s="45" t="s">
        <v>32</v>
      </c>
      <c r="G8" s="46"/>
      <c r="H8" s="34"/>
      <c r="I8" s="34"/>
      <c r="J8" s="34"/>
      <c r="K8" s="34"/>
      <c r="L8" s="34"/>
      <c r="M8" s="34"/>
      <c r="N8" s="34"/>
      <c r="O8" s="34"/>
      <c r="P8" s="34"/>
      <c r="Q8" s="34"/>
      <c r="R8" s="34"/>
      <c r="S8" s="34"/>
      <c r="T8" s="34"/>
      <c r="U8" s="34"/>
      <c r="V8" s="34"/>
      <c r="W8" s="34"/>
      <c r="X8" s="34"/>
    </row>
    <row r="9" spans="1:27" ht="51">
      <c r="A9" s="88" t="str">
        <f>IF(OR(B9&lt;&gt;"",D9&lt;&gt;""),"["&amp;TEXT($B$2,"##")&amp;"-"&amp;TEXT(ROW()-8,"##")&amp;"]","")</f>
        <v>[USR_EXP-1]</v>
      </c>
      <c r="B9" s="89" t="s">
        <v>143</v>
      </c>
      <c r="C9" s="90" t="s">
        <v>144</v>
      </c>
      <c r="D9" s="91" t="s">
        <v>145</v>
      </c>
      <c r="E9" s="91" t="s">
        <v>146</v>
      </c>
      <c r="F9" s="92" t="s">
        <v>20</v>
      </c>
      <c r="G9" s="48"/>
      <c r="H9" s="7"/>
      <c r="I9" s="7"/>
      <c r="J9" s="7"/>
      <c r="K9" s="7"/>
      <c r="L9" s="7"/>
      <c r="M9" s="7"/>
      <c r="N9" s="7"/>
      <c r="O9" s="7"/>
      <c r="P9" s="7"/>
      <c r="Q9" s="7"/>
      <c r="R9" s="7"/>
      <c r="S9" s="7"/>
      <c r="T9" s="7"/>
      <c r="U9" s="7"/>
      <c r="V9" s="7"/>
      <c r="W9" s="7"/>
      <c r="X9" s="7"/>
    </row>
    <row r="10" spans="1:27" ht="63.75">
      <c r="A10" s="88" t="str">
        <f t="shared" ref="A10:A18" si="0">IF(OR(B10&lt;&gt;"",D10&lt;&gt;""),"["&amp;TEXT($B$2,"##")&amp;"-"&amp;TEXT(ROW()-8,"##")&amp;"]","")</f>
        <v>[USR_EXP-2]</v>
      </c>
      <c r="B10" s="89" t="s">
        <v>147</v>
      </c>
      <c r="C10" s="90" t="s">
        <v>148</v>
      </c>
      <c r="D10" s="91" t="s">
        <v>149</v>
      </c>
      <c r="E10" s="91" t="s">
        <v>150</v>
      </c>
      <c r="F10" s="92" t="s">
        <v>20</v>
      </c>
      <c r="G10" s="48"/>
      <c r="H10" s="7"/>
      <c r="I10" s="7"/>
      <c r="J10" s="7"/>
      <c r="K10" s="7"/>
      <c r="L10" s="7"/>
      <c r="M10" s="7"/>
      <c r="N10" s="7"/>
      <c r="O10" s="7"/>
      <c r="P10" s="7"/>
      <c r="Q10" s="7"/>
      <c r="R10" s="7"/>
      <c r="S10" s="7"/>
      <c r="T10" s="7"/>
      <c r="U10" s="7"/>
      <c r="V10" s="7"/>
      <c r="W10" s="7"/>
      <c r="X10" s="7"/>
    </row>
    <row r="11" spans="1:27" ht="25.5">
      <c r="A11" s="88" t="str">
        <f t="shared" si="0"/>
        <v>[USR_EXP-3]</v>
      </c>
      <c r="B11" s="89" t="s">
        <v>151</v>
      </c>
      <c r="C11" s="90" t="s">
        <v>152</v>
      </c>
      <c r="D11" s="91" t="s">
        <v>149</v>
      </c>
      <c r="E11" s="91" t="s">
        <v>153</v>
      </c>
      <c r="F11" s="92" t="s">
        <v>20</v>
      </c>
      <c r="G11" s="49"/>
      <c r="H11" s="34"/>
      <c r="I11" s="34"/>
      <c r="J11" s="34"/>
      <c r="K11" s="34"/>
      <c r="L11" s="34"/>
      <c r="M11" s="34"/>
      <c r="N11" s="34"/>
      <c r="O11" s="34"/>
      <c r="P11" s="34"/>
      <c r="Q11" s="34"/>
      <c r="R11" s="34"/>
      <c r="S11" s="34"/>
      <c r="T11" s="34"/>
      <c r="U11" s="34"/>
      <c r="V11" s="34"/>
      <c r="W11" s="34"/>
      <c r="X11" s="34"/>
    </row>
    <row r="12" spans="1:27" ht="25.5">
      <c r="A12" s="88" t="str">
        <f t="shared" si="0"/>
        <v>[USR_EXP-4]</v>
      </c>
      <c r="B12" s="89" t="s">
        <v>165</v>
      </c>
      <c r="C12" s="90" t="s">
        <v>167</v>
      </c>
      <c r="D12" s="91" t="s">
        <v>166</v>
      </c>
      <c r="E12" s="91" t="s">
        <v>168</v>
      </c>
      <c r="F12" s="92" t="s">
        <v>20</v>
      </c>
      <c r="G12" s="48"/>
      <c r="H12" s="7"/>
      <c r="I12" s="7"/>
      <c r="J12" s="7"/>
      <c r="K12" s="7"/>
      <c r="L12" s="7"/>
      <c r="M12" s="7"/>
      <c r="N12" s="7"/>
      <c r="O12" s="7"/>
      <c r="P12" s="7"/>
      <c r="Q12" s="7"/>
      <c r="R12" s="7"/>
      <c r="S12" s="7"/>
      <c r="T12" s="7"/>
      <c r="U12" s="7"/>
      <c r="V12" s="7"/>
      <c r="W12" s="7"/>
      <c r="X12" s="7"/>
    </row>
    <row r="13" spans="1:27" ht="25.5">
      <c r="A13" s="88" t="str">
        <f t="shared" si="0"/>
        <v>[USR_EXP-5]</v>
      </c>
      <c r="B13" s="89" t="s">
        <v>170</v>
      </c>
      <c r="C13" s="90" t="s">
        <v>171</v>
      </c>
      <c r="D13" s="91" t="s">
        <v>172</v>
      </c>
      <c r="E13" s="91" t="s">
        <v>173</v>
      </c>
      <c r="F13" s="92" t="s">
        <v>20</v>
      </c>
      <c r="G13" s="7"/>
      <c r="H13" s="7"/>
      <c r="I13" s="7"/>
      <c r="J13" s="50"/>
      <c r="K13" s="7"/>
      <c r="L13" s="7"/>
      <c r="M13" s="7"/>
      <c r="N13" s="7"/>
      <c r="O13" s="7"/>
      <c r="P13" s="7"/>
      <c r="Q13" s="7"/>
      <c r="R13" s="7"/>
      <c r="S13" s="7"/>
      <c r="T13" s="7"/>
      <c r="U13" s="7"/>
      <c r="V13" s="7"/>
      <c r="W13" s="7"/>
      <c r="X13" s="7"/>
      <c r="Y13" s="7"/>
      <c r="Z13" s="7"/>
      <c r="AA13" s="7"/>
    </row>
    <row r="14" spans="1:27" ht="38.25">
      <c r="A14" s="88" t="str">
        <f t="shared" si="0"/>
        <v>[USR_EXP-6]</v>
      </c>
      <c r="B14" s="89" t="s">
        <v>174</v>
      </c>
      <c r="C14" s="90" t="s">
        <v>175</v>
      </c>
      <c r="D14" s="91" t="s">
        <v>176</v>
      </c>
      <c r="E14" s="91" t="s">
        <v>177</v>
      </c>
      <c r="F14" s="92" t="s">
        <v>20</v>
      </c>
      <c r="G14" s="7"/>
      <c r="H14" s="7"/>
      <c r="I14" s="7"/>
      <c r="J14" s="49"/>
      <c r="K14" s="34"/>
      <c r="L14" s="34"/>
      <c r="M14" s="34"/>
      <c r="N14" s="34"/>
      <c r="O14" s="34"/>
      <c r="P14" s="34"/>
      <c r="Q14" s="34"/>
      <c r="R14" s="34"/>
      <c r="S14" s="34"/>
      <c r="T14" s="34"/>
      <c r="U14" s="34"/>
      <c r="V14" s="34"/>
      <c r="W14" s="34"/>
      <c r="X14" s="34"/>
      <c r="Y14" s="34"/>
      <c r="Z14" s="34"/>
      <c r="AA14" s="34"/>
    </row>
    <row r="15" spans="1:27">
      <c r="A15" s="88" t="str">
        <f t="shared" si="0"/>
        <v>[USR_EXP-7]</v>
      </c>
      <c r="B15" s="89" t="s">
        <v>178</v>
      </c>
      <c r="C15" s="90" t="s">
        <v>179</v>
      </c>
      <c r="D15" s="91" t="s">
        <v>180</v>
      </c>
      <c r="E15" s="91" t="s">
        <v>181</v>
      </c>
      <c r="F15" s="92" t="s">
        <v>22</v>
      </c>
      <c r="G15" s="7"/>
      <c r="H15" s="7"/>
      <c r="I15" s="7"/>
      <c r="J15" s="48"/>
      <c r="K15" s="7"/>
      <c r="L15" s="7"/>
      <c r="M15" s="7"/>
      <c r="N15" s="7"/>
      <c r="O15" s="7"/>
      <c r="P15" s="7"/>
      <c r="Q15" s="7"/>
      <c r="R15" s="7"/>
      <c r="S15" s="7"/>
      <c r="T15" s="7"/>
      <c r="U15" s="7"/>
      <c r="V15" s="7"/>
      <c r="W15" s="7"/>
      <c r="X15" s="7"/>
      <c r="Y15" s="7"/>
      <c r="Z15" s="7"/>
      <c r="AA15" s="7"/>
    </row>
    <row r="16" spans="1:27" ht="27" customHeight="1">
      <c r="A16" s="88" t="str">
        <f t="shared" si="0"/>
        <v>[USR_EXP-8]</v>
      </c>
      <c r="B16" s="89" t="s">
        <v>182</v>
      </c>
      <c r="C16" s="90" t="s">
        <v>179</v>
      </c>
      <c r="D16" s="91" t="s">
        <v>183</v>
      </c>
      <c r="E16" s="91" t="s">
        <v>184</v>
      </c>
      <c r="F16" s="92" t="s">
        <v>20</v>
      </c>
      <c r="G16" s="7"/>
      <c r="H16" s="7"/>
      <c r="I16" s="7"/>
      <c r="J16" s="50"/>
      <c r="K16" s="7"/>
      <c r="L16" s="7"/>
      <c r="M16" s="7"/>
      <c r="N16" s="7"/>
      <c r="O16" s="7"/>
      <c r="P16" s="7"/>
      <c r="Q16" s="7"/>
      <c r="R16" s="7"/>
      <c r="S16" s="7"/>
      <c r="T16" s="7"/>
      <c r="U16" s="7"/>
      <c r="V16" s="7"/>
      <c r="W16" s="7"/>
      <c r="X16" s="7"/>
      <c r="Y16" s="7"/>
      <c r="Z16" s="7"/>
      <c r="AA16" s="7"/>
    </row>
    <row r="17" spans="1:27" ht="25.5">
      <c r="A17" s="88" t="str">
        <f t="shared" si="0"/>
        <v>[USR_EXP-9]</v>
      </c>
      <c r="B17" s="89" t="s">
        <v>185</v>
      </c>
      <c r="C17" s="90" t="s">
        <v>187</v>
      </c>
      <c r="D17" s="91" t="s">
        <v>186</v>
      </c>
      <c r="E17" s="91" t="s">
        <v>188</v>
      </c>
      <c r="F17" s="92" t="s">
        <v>20</v>
      </c>
      <c r="G17" s="7"/>
      <c r="H17" s="7"/>
      <c r="I17" s="7"/>
      <c r="J17" s="50"/>
      <c r="K17" s="7"/>
      <c r="L17" s="7"/>
      <c r="M17" s="7"/>
      <c r="N17" s="7"/>
      <c r="O17" s="7"/>
      <c r="P17" s="7"/>
      <c r="Q17" s="7"/>
      <c r="R17" s="7"/>
      <c r="S17" s="7"/>
      <c r="T17" s="7"/>
      <c r="U17" s="7"/>
      <c r="V17" s="7"/>
      <c r="W17" s="7"/>
      <c r="X17" s="7"/>
      <c r="Y17" s="7"/>
      <c r="Z17" s="7"/>
      <c r="AA17" s="7"/>
    </row>
    <row r="18" spans="1:27" ht="25.5">
      <c r="A18" s="88" t="str">
        <f t="shared" si="0"/>
        <v>[USR_EXP-10]</v>
      </c>
      <c r="B18" s="89" t="s">
        <v>189</v>
      </c>
      <c r="C18" s="90" t="s">
        <v>190</v>
      </c>
      <c r="D18" s="91" t="s">
        <v>191</v>
      </c>
      <c r="E18" s="91" t="s">
        <v>191</v>
      </c>
      <c r="F18" s="92" t="s">
        <v>22</v>
      </c>
      <c r="G18" s="7"/>
      <c r="H18" s="7"/>
      <c r="I18" s="7"/>
      <c r="J18" s="50"/>
      <c r="K18" s="7"/>
      <c r="L18" s="7"/>
      <c r="M18" s="7"/>
      <c r="N18" s="7"/>
      <c r="O18" s="7"/>
      <c r="P18" s="7"/>
      <c r="Q18" s="7"/>
      <c r="R18" s="7"/>
      <c r="S18" s="7"/>
      <c r="T18" s="7"/>
      <c r="U18" s="7"/>
      <c r="V18" s="7"/>
      <c r="W18" s="7"/>
      <c r="X18" s="7"/>
      <c r="Y18" s="7"/>
      <c r="Z18" s="7"/>
      <c r="AA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J977" s="50"/>
      <c r="K977" s="7"/>
      <c r="L977" s="7"/>
      <c r="M977" s="7"/>
      <c r="N977" s="7"/>
      <c r="O977" s="7"/>
      <c r="P977" s="7"/>
      <c r="Q977" s="7"/>
      <c r="R977" s="7"/>
      <c r="S977" s="7"/>
      <c r="T977" s="7"/>
      <c r="U977" s="7"/>
      <c r="V977" s="7"/>
      <c r="W977" s="7"/>
      <c r="X977" s="7"/>
      <c r="Y977" s="7"/>
      <c r="Z977" s="7"/>
      <c r="AA977" s="7"/>
    </row>
    <row r="978" spans="1:27">
      <c r="A978" s="7"/>
      <c r="B978" s="7"/>
      <c r="C978" s="83"/>
      <c r="D978" s="7"/>
      <c r="E978" s="7"/>
      <c r="F978" s="7"/>
      <c r="J978" s="50"/>
      <c r="K978" s="7"/>
      <c r="L978" s="7"/>
      <c r="M978" s="7"/>
      <c r="N978" s="7"/>
      <c r="O978" s="7"/>
      <c r="P978" s="7"/>
      <c r="Q978" s="7"/>
      <c r="R978" s="7"/>
      <c r="S978" s="7"/>
      <c r="T978" s="7"/>
      <c r="U978" s="7"/>
      <c r="V978" s="7"/>
      <c r="W978" s="7"/>
      <c r="X978" s="7"/>
      <c r="Y978" s="7"/>
      <c r="Z978" s="7"/>
      <c r="AA978" s="7"/>
    </row>
    <row r="979" spans="1:27">
      <c r="A979" s="7"/>
      <c r="B979" s="7"/>
      <c r="C979" s="83"/>
      <c r="D979" s="7"/>
      <c r="E979" s="7"/>
      <c r="F979" s="7"/>
      <c r="J979" s="50"/>
      <c r="K979" s="7"/>
      <c r="L979" s="7"/>
      <c r="M979" s="7"/>
      <c r="N979" s="7"/>
      <c r="O979" s="7"/>
      <c r="P979" s="7"/>
      <c r="Q979" s="7"/>
      <c r="R979" s="7"/>
      <c r="S979" s="7"/>
      <c r="T979" s="7"/>
      <c r="U979" s="7"/>
      <c r="V979" s="7"/>
      <c r="W979" s="7"/>
      <c r="X979" s="7"/>
      <c r="Y979" s="7"/>
      <c r="Z979" s="7"/>
      <c r="AA979" s="7"/>
    </row>
    <row r="980" spans="1:27">
      <c r="A980" s="7"/>
      <c r="B980" s="7"/>
      <c r="C980" s="83"/>
      <c r="D980" s="7"/>
      <c r="E980" s="7"/>
      <c r="F980" s="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G13:G117 F8:F18">
      <formula1>$K$2:$K$6</formula1>
    </dataValidation>
  </dataValidations>
  <pageMargins left="0.7" right="0.7" top="0.75" bottom="0.75" header="0" footer="0"/>
  <pageSetup orientation="landscape"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C13" workbookViewId="0">
      <selection activeCell="E18" sqref="E18"/>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156</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154</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ht="15" customHeight="1">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COUNTIF($F$8:$F$970,K2)</f>
        <v>9</v>
      </c>
      <c r="C6" s="41">
        <f>COUNTIF($F$8:$F$970,K3)</f>
        <v>1</v>
      </c>
      <c r="D6" s="41">
        <f>COUNTIF($F$8:$F$970,K5)</f>
        <v>0</v>
      </c>
      <c r="E6" s="41">
        <f>COUNTIF($F$8:$F$970,K4)</f>
        <v>0</v>
      </c>
      <c r="F6" s="41">
        <f>COUNTIF($F$8:$F$970,K6)</f>
        <v>0</v>
      </c>
      <c r="G6" s="117">
        <f>COUNTA(A9:A976)</f>
        <v>10</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38.25">
      <c r="A9" s="47" t="str">
        <f>IF(OR(B9&lt;&gt;"",D9&lt;&gt;""),"["&amp;TEXT($B$2,"##")&amp;"-"&amp;TEXT(ROW()-8,"##")&amp;"]","")</f>
        <v>[USR_ADD-1]</v>
      </c>
      <c r="B9" s="81" t="s">
        <v>49</v>
      </c>
      <c r="C9" s="81" t="s">
        <v>50</v>
      </c>
      <c r="D9" s="81" t="s">
        <v>51</v>
      </c>
      <c r="E9" s="81" t="s">
        <v>45</v>
      </c>
      <c r="F9" s="51" t="s">
        <v>20</v>
      </c>
      <c r="G9" s="48"/>
      <c r="H9" s="7"/>
      <c r="I9" s="7"/>
      <c r="J9" s="7"/>
      <c r="K9" s="7"/>
      <c r="L9" s="7"/>
      <c r="M9" s="7"/>
      <c r="N9" s="7"/>
      <c r="O9" s="7"/>
      <c r="P9" s="7"/>
      <c r="Q9" s="7"/>
      <c r="R9" s="7"/>
      <c r="S9" s="7"/>
      <c r="T9" s="7"/>
      <c r="U9" s="7"/>
      <c r="V9" s="7"/>
      <c r="W9" s="7"/>
      <c r="X9" s="7"/>
    </row>
    <row r="10" spans="1:27" ht="38.25">
      <c r="A10" s="47" t="str">
        <f t="shared" ref="A10:A18" si="0">IF(OR(B10&lt;&gt;"",D10&lt;&gt;""),"["&amp;TEXT($B$2,"##")&amp;"-"&amp;TEXT(ROW()-8,"##")&amp;"]","")</f>
        <v>[USR_ADD-2]</v>
      </c>
      <c r="B10" s="81" t="s">
        <v>52</v>
      </c>
      <c r="C10" s="81" t="s">
        <v>53</v>
      </c>
      <c r="D10" s="81" t="s">
        <v>51</v>
      </c>
      <c r="E10" s="81" t="s">
        <v>46</v>
      </c>
      <c r="F10" s="51" t="s">
        <v>20</v>
      </c>
      <c r="G10" s="48"/>
      <c r="H10" s="7"/>
      <c r="I10" s="7"/>
      <c r="J10" s="7"/>
      <c r="K10" s="7"/>
      <c r="L10" s="7"/>
      <c r="M10" s="7"/>
      <c r="N10" s="7"/>
      <c r="O10" s="7"/>
      <c r="P10" s="7"/>
      <c r="Q10" s="7"/>
      <c r="R10" s="7"/>
      <c r="S10" s="7"/>
      <c r="T10" s="7"/>
      <c r="U10" s="7"/>
      <c r="V10" s="7"/>
      <c r="W10" s="7"/>
      <c r="X10" s="7"/>
    </row>
    <row r="11" spans="1:27" ht="51">
      <c r="A11" s="47" t="str">
        <f t="shared" si="0"/>
        <v>[USR_ADD-3]</v>
      </c>
      <c r="B11" s="81" t="s">
        <v>54</v>
      </c>
      <c r="C11" s="81" t="s">
        <v>55</v>
      </c>
      <c r="D11" s="81" t="s">
        <v>56</v>
      </c>
      <c r="E11" s="81" t="s">
        <v>57</v>
      </c>
      <c r="F11" s="51" t="s">
        <v>20</v>
      </c>
      <c r="G11" s="49"/>
      <c r="H11" s="34"/>
      <c r="I11" s="34"/>
      <c r="J11" s="34"/>
      <c r="K11" s="34"/>
      <c r="L11" s="34"/>
      <c r="M11" s="34"/>
      <c r="N11" s="34"/>
      <c r="O11" s="34"/>
      <c r="P11" s="34"/>
      <c r="Q11" s="34"/>
      <c r="R11" s="34"/>
      <c r="S11" s="34"/>
      <c r="T11" s="34"/>
      <c r="U11" s="34"/>
      <c r="V11" s="34"/>
      <c r="W11" s="34"/>
      <c r="X11" s="34"/>
    </row>
    <row r="12" spans="1:27" ht="63.75">
      <c r="A12" s="47" t="str">
        <f t="shared" si="0"/>
        <v>[USR_ADD-4]</v>
      </c>
      <c r="B12" s="81" t="s">
        <v>58</v>
      </c>
      <c r="C12" s="81" t="s">
        <v>48</v>
      </c>
      <c r="D12" s="81" t="s">
        <v>59</v>
      </c>
      <c r="E12" s="81" t="s">
        <v>60</v>
      </c>
      <c r="F12" s="51" t="s">
        <v>20</v>
      </c>
      <c r="G12" s="48"/>
      <c r="H12" s="7"/>
      <c r="I12" s="7"/>
      <c r="J12" s="7"/>
      <c r="K12" s="7"/>
      <c r="L12" s="7"/>
      <c r="M12" s="7"/>
      <c r="N12" s="7"/>
      <c r="O12" s="7"/>
      <c r="P12" s="7"/>
      <c r="Q12" s="7"/>
      <c r="R12" s="7"/>
      <c r="S12" s="7"/>
      <c r="T12" s="7"/>
      <c r="U12" s="7"/>
      <c r="V12" s="7"/>
      <c r="W12" s="7"/>
      <c r="X12" s="7"/>
    </row>
    <row r="13" spans="1:27" ht="38.25">
      <c r="A13" s="47" t="str">
        <f t="shared" si="0"/>
        <v>[USR_ADD-5]</v>
      </c>
      <c r="B13" s="81" t="s">
        <v>61</v>
      </c>
      <c r="C13" s="81" t="s">
        <v>62</v>
      </c>
      <c r="D13" s="81" t="s">
        <v>63</v>
      </c>
      <c r="E13" s="81" t="s">
        <v>64</v>
      </c>
      <c r="F13" s="51" t="s">
        <v>20</v>
      </c>
      <c r="G13" s="50"/>
      <c r="H13" s="7"/>
      <c r="I13" s="7"/>
      <c r="J13" s="7"/>
      <c r="K13" s="7"/>
      <c r="L13" s="7"/>
      <c r="M13" s="7"/>
      <c r="N13" s="7"/>
      <c r="O13" s="7"/>
      <c r="P13" s="7"/>
      <c r="Q13" s="7"/>
      <c r="R13" s="7"/>
      <c r="S13" s="7"/>
      <c r="T13" s="7"/>
      <c r="U13" s="7"/>
      <c r="V13" s="7"/>
      <c r="W13" s="7"/>
      <c r="X13" s="7"/>
    </row>
    <row r="14" spans="1:27" ht="63.75">
      <c r="A14" s="47" t="str">
        <f t="shared" si="0"/>
        <v>[USR_ADD-6]</v>
      </c>
      <c r="B14" s="81" t="s">
        <v>65</v>
      </c>
      <c r="C14" s="81" t="s">
        <v>66</v>
      </c>
      <c r="D14" s="81" t="s">
        <v>67</v>
      </c>
      <c r="E14" s="81" t="s">
        <v>68</v>
      </c>
      <c r="F14" s="51" t="s">
        <v>20</v>
      </c>
      <c r="G14" s="49"/>
      <c r="H14" s="34"/>
      <c r="I14" s="34"/>
      <c r="J14" s="34"/>
      <c r="K14" s="34"/>
      <c r="L14" s="34"/>
      <c r="M14" s="34"/>
      <c r="N14" s="34"/>
      <c r="O14" s="34"/>
      <c r="P14" s="34"/>
      <c r="Q14" s="34"/>
      <c r="R14" s="34"/>
      <c r="S14" s="34"/>
      <c r="T14" s="34"/>
      <c r="U14" s="34"/>
      <c r="V14" s="34"/>
      <c r="W14" s="34"/>
      <c r="X14" s="34"/>
    </row>
    <row r="15" spans="1:27" ht="38.25">
      <c r="A15" s="47" t="str">
        <f t="shared" si="0"/>
        <v>[USR_ADD-7]</v>
      </c>
      <c r="B15" s="81" t="s">
        <v>69</v>
      </c>
      <c r="C15" s="81" t="s">
        <v>48</v>
      </c>
      <c r="D15" s="81" t="s">
        <v>70</v>
      </c>
      <c r="E15" s="81" t="s">
        <v>71</v>
      </c>
      <c r="F15" s="51" t="s">
        <v>20</v>
      </c>
      <c r="G15" s="48"/>
      <c r="H15" s="7"/>
      <c r="I15" s="7"/>
      <c r="J15" s="7"/>
      <c r="K15" s="7"/>
      <c r="L15" s="7"/>
      <c r="M15" s="7"/>
      <c r="N15" s="7"/>
      <c r="O15" s="7"/>
      <c r="P15" s="7"/>
      <c r="Q15" s="7"/>
      <c r="R15" s="7"/>
      <c r="S15" s="7"/>
      <c r="T15" s="7"/>
      <c r="U15" s="7"/>
      <c r="V15" s="7"/>
      <c r="W15" s="7"/>
      <c r="X15" s="7"/>
    </row>
    <row r="16" spans="1:27" ht="51">
      <c r="A16" s="47" t="str">
        <f t="shared" si="0"/>
        <v>[USR_ADD-8]</v>
      </c>
      <c r="B16" s="81" t="s">
        <v>72</v>
      </c>
      <c r="C16" s="81" t="s">
        <v>73</v>
      </c>
      <c r="D16" s="81" t="s">
        <v>74</v>
      </c>
      <c r="E16" s="52" t="s">
        <v>75</v>
      </c>
      <c r="F16" s="51" t="s">
        <v>20</v>
      </c>
      <c r="G16" s="50"/>
      <c r="H16" s="7"/>
      <c r="I16" s="7"/>
      <c r="J16" s="7"/>
      <c r="K16" s="7"/>
      <c r="L16" s="7"/>
      <c r="M16" s="7"/>
      <c r="N16" s="7"/>
      <c r="O16" s="7"/>
      <c r="P16" s="7"/>
      <c r="Q16" s="7"/>
      <c r="R16" s="7"/>
      <c r="S16" s="7"/>
      <c r="T16" s="7"/>
      <c r="U16" s="7"/>
      <c r="V16" s="7"/>
      <c r="W16" s="7"/>
      <c r="X16" s="7"/>
    </row>
    <row r="17" spans="1:27" ht="79.5" customHeight="1">
      <c r="A17" s="47" t="str">
        <f t="shared" si="0"/>
        <v>[USR_ADD-9]</v>
      </c>
      <c r="B17" s="81" t="s">
        <v>160</v>
      </c>
      <c r="C17" s="81" t="s">
        <v>48</v>
      </c>
      <c r="D17" s="81" t="s">
        <v>161</v>
      </c>
      <c r="E17" s="52" t="s">
        <v>162</v>
      </c>
      <c r="F17" s="51" t="s">
        <v>20</v>
      </c>
      <c r="G17" s="50"/>
      <c r="H17" s="7"/>
      <c r="I17" s="7"/>
      <c r="J17" s="7"/>
      <c r="K17" s="7"/>
      <c r="L17" s="7"/>
      <c r="M17" s="7"/>
      <c r="N17" s="7"/>
      <c r="O17" s="7"/>
      <c r="P17" s="7"/>
      <c r="Q17" s="7"/>
      <c r="R17" s="7"/>
      <c r="S17" s="7"/>
      <c r="T17" s="7"/>
      <c r="U17" s="7"/>
      <c r="V17" s="7"/>
      <c r="W17" s="7"/>
      <c r="X17" s="7"/>
    </row>
    <row r="18" spans="1:27" ht="38.25">
      <c r="A18" s="47" t="str">
        <f t="shared" si="0"/>
        <v>[USR_ADD-10]</v>
      </c>
      <c r="B18" s="81" t="s">
        <v>163</v>
      </c>
      <c r="C18" s="81" t="s">
        <v>210</v>
      </c>
      <c r="D18" s="81" t="s">
        <v>51</v>
      </c>
      <c r="E18" s="52" t="s">
        <v>164</v>
      </c>
      <c r="F18" s="51" t="s">
        <v>22</v>
      </c>
      <c r="G18" s="50"/>
      <c r="H18" s="7"/>
      <c r="I18" s="7"/>
      <c r="J18" s="7"/>
      <c r="K18" s="7"/>
      <c r="L18" s="7"/>
      <c r="M18" s="7"/>
      <c r="N18" s="7"/>
      <c r="O18" s="7"/>
      <c r="P18" s="7"/>
      <c r="Q18" s="7"/>
      <c r="R18" s="7"/>
      <c r="S18" s="7"/>
      <c r="T18" s="7"/>
      <c r="U18" s="7"/>
      <c r="V18" s="7"/>
      <c r="W18" s="7"/>
      <c r="X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G975" s="7"/>
      <c r="H975" s="7"/>
      <c r="I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G976" s="7"/>
      <c r="H976" s="7"/>
      <c r="I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G977" s="7"/>
      <c r="H977" s="7"/>
      <c r="I977" s="7"/>
      <c r="J977" s="50"/>
      <c r="K977" s="7"/>
      <c r="L977" s="7"/>
      <c r="M977" s="7"/>
      <c r="N977" s="7"/>
      <c r="O977" s="7"/>
      <c r="P977" s="7"/>
      <c r="Q977" s="7"/>
      <c r="R977" s="7"/>
      <c r="S977" s="7"/>
      <c r="T977" s="7"/>
      <c r="U977" s="7"/>
      <c r="V977" s="7"/>
      <c r="W977" s="7"/>
      <c r="X977" s="7"/>
      <c r="Y977" s="7"/>
      <c r="Z977" s="7"/>
      <c r="AA977" s="7"/>
    </row>
    <row r="978" spans="1:27">
      <c r="A978" s="7"/>
      <c r="B978" s="7"/>
      <c r="C978" s="83"/>
      <c r="D978" s="7"/>
      <c r="E978" s="7"/>
      <c r="F978" s="7"/>
      <c r="G978" s="7"/>
      <c r="H978" s="7"/>
      <c r="I978" s="7"/>
      <c r="J978" s="50"/>
      <c r="K978" s="7"/>
      <c r="L978" s="7"/>
      <c r="M978" s="7"/>
      <c r="N978" s="7"/>
      <c r="O978" s="7"/>
      <c r="P978" s="7"/>
      <c r="Q978" s="7"/>
      <c r="R978" s="7"/>
      <c r="S978" s="7"/>
      <c r="T978" s="7"/>
      <c r="U978" s="7"/>
      <c r="V978" s="7"/>
      <c r="W978" s="7"/>
      <c r="X978" s="7"/>
      <c r="Y978" s="7"/>
      <c r="Z978" s="7"/>
      <c r="AA978" s="7"/>
    </row>
    <row r="979" spans="1:27">
      <c r="A979" s="7"/>
      <c r="B979" s="7"/>
      <c r="C979" s="83"/>
      <c r="D979" s="7"/>
      <c r="E979" s="7"/>
      <c r="F979" s="7"/>
      <c r="G979" s="7"/>
      <c r="H979" s="7"/>
      <c r="I979" s="7"/>
      <c r="J979" s="50"/>
      <c r="K979" s="7"/>
      <c r="L979" s="7"/>
      <c r="M979" s="7"/>
      <c r="N979" s="7"/>
      <c r="O979" s="7"/>
      <c r="P979" s="7"/>
      <c r="Q979" s="7"/>
      <c r="R979" s="7"/>
      <c r="S979" s="7"/>
      <c r="T979" s="7"/>
      <c r="U979" s="7"/>
      <c r="V979" s="7"/>
      <c r="W979" s="7"/>
      <c r="X979" s="7"/>
      <c r="Y979" s="7"/>
      <c r="Z979" s="7"/>
      <c r="AA979" s="7"/>
    </row>
    <row r="980" spans="1:2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8 G19:G122">
      <formula1>$K$2:$K$6</formula1>
    </dataValidation>
  </dataValidations>
  <pageMargins left="0.7" right="0.7" top="0.75" bottom="0.75" header="0" footer="0"/>
  <pageSetup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workbookViewId="0">
      <selection activeCell="B12" sqref="B12"/>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157</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154</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ht="15" customHeight="1">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COUNTIF($F$8:$F$971,K2)</f>
        <v>3</v>
      </c>
      <c r="C6" s="41">
        <f>COUNTIF($F$8:$F$971,K3)</f>
        <v>1</v>
      </c>
      <c r="D6" s="41">
        <f>COUNTIF($F$8:$F$971,K5)</f>
        <v>0</v>
      </c>
      <c r="E6" s="41">
        <f>COUNTIF($F$8:$F$971,K4)</f>
        <v>0</v>
      </c>
      <c r="F6" s="41">
        <f>COUNTIF($F$8:$F$971,K6)</f>
        <v>0</v>
      </c>
      <c r="G6" s="117">
        <f>COUNTA(A9:A977)</f>
        <v>4</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94" t="s">
        <v>28</v>
      </c>
      <c r="B8" s="95" t="s">
        <v>29</v>
      </c>
      <c r="C8" s="95" t="s">
        <v>47</v>
      </c>
      <c r="D8" s="95" t="s">
        <v>30</v>
      </c>
      <c r="E8" s="95" t="s">
        <v>31</v>
      </c>
      <c r="F8" s="96" t="s">
        <v>32</v>
      </c>
      <c r="G8" s="46"/>
      <c r="H8" s="34"/>
      <c r="I8" s="34"/>
      <c r="J8" s="34"/>
      <c r="K8" s="34"/>
      <c r="L8" s="34"/>
      <c r="M8" s="34"/>
      <c r="N8" s="34"/>
      <c r="O8" s="34"/>
      <c r="P8" s="34"/>
      <c r="Q8" s="34"/>
      <c r="R8" s="34"/>
      <c r="S8" s="34"/>
      <c r="T8" s="34"/>
      <c r="U8" s="34"/>
      <c r="V8" s="34"/>
      <c r="W8" s="34"/>
      <c r="X8" s="34"/>
    </row>
    <row r="9" spans="1:27" ht="38.25">
      <c r="A9" s="97" t="str">
        <f>IF(OR(B9&lt;&gt;"",D9&lt;&gt;""),"["&amp;TEXT($B$2,"##")&amp;"-"&amp;TEXT(ROW()-8,"##")&amp;"]","")</f>
        <v>[USR_DEL-1]</v>
      </c>
      <c r="B9" s="89" t="s">
        <v>76</v>
      </c>
      <c r="C9" s="89" t="s">
        <v>77</v>
      </c>
      <c r="D9" s="91" t="s">
        <v>78</v>
      </c>
      <c r="E9" s="91" t="s">
        <v>79</v>
      </c>
      <c r="F9" s="98" t="s">
        <v>20</v>
      </c>
      <c r="G9" s="48"/>
      <c r="H9" s="7"/>
      <c r="I9" s="7"/>
      <c r="J9" s="7"/>
      <c r="K9" s="7"/>
      <c r="L9" s="7"/>
      <c r="M9" s="7"/>
      <c r="N9" s="7"/>
      <c r="O9" s="7"/>
      <c r="P9" s="7"/>
      <c r="Q9" s="7"/>
      <c r="R9" s="7"/>
      <c r="S9" s="7"/>
      <c r="T9" s="7"/>
      <c r="U9" s="7"/>
      <c r="V9" s="7"/>
      <c r="W9" s="7"/>
      <c r="X9" s="7"/>
    </row>
    <row r="10" spans="1:27" ht="38.25">
      <c r="A10" s="97" t="str">
        <f t="shared" ref="A10:A12" si="0">IF(OR(B10&lt;&gt;"",D10&lt;&gt;""),"["&amp;TEXT($B$2,"##")&amp;"-"&amp;TEXT(ROW()-8,"##")&amp;"]","")</f>
        <v>[USR_DEL-2]</v>
      </c>
      <c r="B10" s="89" t="s">
        <v>80</v>
      </c>
      <c r="C10" s="90" t="s">
        <v>81</v>
      </c>
      <c r="D10" s="89" t="s">
        <v>82</v>
      </c>
      <c r="E10" s="91" t="s">
        <v>79</v>
      </c>
      <c r="F10" s="98" t="s">
        <v>20</v>
      </c>
      <c r="G10" s="48"/>
      <c r="H10" s="7"/>
      <c r="I10" s="7"/>
      <c r="J10" s="7"/>
      <c r="K10" s="7"/>
      <c r="L10" s="7"/>
      <c r="M10" s="7"/>
      <c r="N10" s="7"/>
      <c r="O10" s="7"/>
      <c r="P10" s="7"/>
      <c r="Q10" s="7"/>
      <c r="R10" s="7"/>
      <c r="S10" s="7"/>
      <c r="T10" s="7"/>
      <c r="U10" s="7"/>
      <c r="V10" s="7"/>
      <c r="W10" s="7"/>
      <c r="X10" s="7"/>
    </row>
    <row r="11" spans="1:27" ht="25.5">
      <c r="A11" s="97" t="str">
        <f t="shared" si="0"/>
        <v>[USR_DEL-3]</v>
      </c>
      <c r="B11" s="89" t="s">
        <v>83</v>
      </c>
      <c r="C11" s="90" t="s">
        <v>81</v>
      </c>
      <c r="D11" s="91" t="s">
        <v>84</v>
      </c>
      <c r="E11" s="91" t="s">
        <v>85</v>
      </c>
      <c r="F11" s="98" t="s">
        <v>20</v>
      </c>
      <c r="G11" s="49"/>
      <c r="H11" s="34"/>
      <c r="I11" s="34"/>
      <c r="J11" s="34"/>
      <c r="K11" s="34"/>
      <c r="L11" s="34"/>
      <c r="M11" s="34"/>
      <c r="N11" s="34"/>
      <c r="O11" s="34"/>
      <c r="P11" s="34"/>
      <c r="Q11" s="34"/>
      <c r="R11" s="34"/>
      <c r="S11" s="34"/>
      <c r="T11" s="34"/>
      <c r="U11" s="34"/>
      <c r="V11" s="34"/>
      <c r="W11" s="34"/>
      <c r="X11" s="34"/>
    </row>
    <row r="12" spans="1:27" ht="38.25">
      <c r="A12" s="97" t="str">
        <f t="shared" si="0"/>
        <v>[USR_DEL-4]</v>
      </c>
      <c r="B12" s="89" t="s">
        <v>192</v>
      </c>
      <c r="C12" s="99" t="s">
        <v>193</v>
      </c>
      <c r="D12" s="89" t="s">
        <v>82</v>
      </c>
      <c r="E12" s="89" t="s">
        <v>194</v>
      </c>
      <c r="F12" s="98" t="s">
        <v>22</v>
      </c>
      <c r="G12" s="7"/>
      <c r="H12" s="7"/>
      <c r="I12" s="7"/>
      <c r="J12" s="48"/>
      <c r="K12" s="7"/>
      <c r="L12" s="7"/>
      <c r="M12" s="7"/>
      <c r="N12" s="7"/>
      <c r="O12" s="7"/>
      <c r="P12" s="7"/>
      <c r="Q12" s="7"/>
      <c r="R12" s="7"/>
      <c r="S12" s="7"/>
      <c r="T12" s="7"/>
      <c r="U12" s="7"/>
      <c r="V12" s="7"/>
      <c r="W12" s="7"/>
      <c r="X12" s="7"/>
      <c r="Y12" s="7"/>
      <c r="Z12" s="7"/>
      <c r="AA12" s="7"/>
    </row>
    <row r="13" spans="1:27">
      <c r="A13" s="7"/>
      <c r="B13" s="7"/>
      <c r="C13" s="83"/>
      <c r="D13" s="7"/>
      <c r="E13" s="7"/>
      <c r="F13" s="7"/>
      <c r="G13" s="7"/>
      <c r="H13" s="7"/>
      <c r="I13" s="7"/>
      <c r="J13" s="50"/>
      <c r="K13" s="7"/>
      <c r="L13" s="7"/>
      <c r="M13" s="7"/>
      <c r="N13" s="7"/>
      <c r="O13" s="7"/>
      <c r="P13" s="7"/>
      <c r="Q13" s="7"/>
      <c r="R13" s="7"/>
      <c r="S13" s="7"/>
      <c r="T13" s="7"/>
      <c r="U13" s="7"/>
      <c r="V13" s="7"/>
      <c r="W13" s="7"/>
      <c r="X13" s="7"/>
      <c r="Y13" s="7"/>
      <c r="Z13" s="7"/>
      <c r="AA13" s="7"/>
    </row>
    <row r="14" spans="1:27">
      <c r="A14" s="7"/>
      <c r="B14" s="7"/>
      <c r="C14" s="83"/>
      <c r="D14" s="7"/>
      <c r="E14" s="7"/>
      <c r="F14" s="7"/>
      <c r="G14" s="7"/>
      <c r="H14" s="7"/>
      <c r="I14" s="7"/>
      <c r="J14" s="49"/>
      <c r="K14" s="34"/>
      <c r="L14" s="34"/>
      <c r="M14" s="34"/>
      <c r="N14" s="34"/>
      <c r="O14" s="34"/>
      <c r="P14" s="34"/>
      <c r="Q14" s="34"/>
      <c r="R14" s="34"/>
      <c r="S14" s="34"/>
      <c r="T14" s="34"/>
      <c r="U14" s="34"/>
      <c r="V14" s="34"/>
      <c r="W14" s="34"/>
      <c r="X14" s="34"/>
      <c r="Y14" s="34"/>
      <c r="Z14" s="34"/>
      <c r="AA14" s="34"/>
    </row>
    <row r="15" spans="1:27">
      <c r="A15" s="7"/>
      <c r="B15" s="7"/>
      <c r="C15" s="83"/>
      <c r="D15" s="7"/>
      <c r="E15" s="7"/>
      <c r="F15" s="7"/>
      <c r="G15" s="7"/>
      <c r="H15" s="7"/>
      <c r="I15" s="7"/>
      <c r="J15" s="48"/>
      <c r="K15" s="7"/>
      <c r="L15" s="7"/>
      <c r="M15" s="7"/>
      <c r="N15" s="7"/>
      <c r="O15" s="7"/>
      <c r="P15" s="7"/>
      <c r="Q15" s="7"/>
      <c r="R15" s="7"/>
      <c r="S15" s="7"/>
      <c r="T15" s="7"/>
      <c r="U15" s="7"/>
      <c r="V15" s="7"/>
      <c r="W15" s="7"/>
      <c r="X15" s="7"/>
      <c r="Y15" s="7"/>
      <c r="Z15" s="7"/>
      <c r="AA15" s="7"/>
    </row>
    <row r="16" spans="1:27">
      <c r="A16" s="7"/>
      <c r="B16" s="7"/>
      <c r="C16" s="83"/>
      <c r="D16" s="7"/>
      <c r="E16" s="7"/>
      <c r="F16" s="7"/>
      <c r="G16" s="7"/>
      <c r="H16" s="7"/>
      <c r="I16" s="7"/>
      <c r="J16" s="50"/>
      <c r="K16" s="7"/>
      <c r="L16" s="7"/>
      <c r="M16" s="7"/>
      <c r="N16" s="7"/>
      <c r="O16" s="7"/>
      <c r="P16" s="7"/>
      <c r="Q16" s="7"/>
      <c r="R16" s="7"/>
      <c r="S16" s="7"/>
      <c r="T16" s="7"/>
      <c r="U16" s="7"/>
      <c r="V16" s="7"/>
      <c r="W16" s="7"/>
      <c r="X16" s="7"/>
      <c r="Y16" s="7"/>
      <c r="Z16" s="7"/>
      <c r="AA16" s="7"/>
    </row>
    <row r="17" spans="1:27">
      <c r="A17" s="7"/>
      <c r="B17" s="7"/>
      <c r="C17" s="83"/>
      <c r="D17" s="7"/>
      <c r="E17" s="7"/>
      <c r="F17" s="7"/>
      <c r="G17" s="7"/>
      <c r="H17" s="7"/>
      <c r="I17" s="7"/>
      <c r="J17" s="50"/>
      <c r="K17" s="7"/>
      <c r="L17" s="7"/>
      <c r="M17" s="7"/>
      <c r="N17" s="7"/>
      <c r="O17" s="7"/>
      <c r="P17" s="7"/>
      <c r="Q17" s="7"/>
      <c r="R17" s="7"/>
      <c r="S17" s="7"/>
      <c r="T17" s="7"/>
      <c r="U17" s="7"/>
      <c r="V17" s="7"/>
      <c r="W17" s="7"/>
      <c r="X17" s="7"/>
      <c r="Y17" s="7"/>
      <c r="Z17" s="7"/>
      <c r="AA17" s="7"/>
    </row>
    <row r="18" spans="1:27">
      <c r="A18" s="7"/>
      <c r="B18" s="7"/>
      <c r="C18" s="83"/>
      <c r="D18" s="7"/>
      <c r="E18" s="7"/>
      <c r="F18" s="7"/>
      <c r="G18" s="7"/>
      <c r="H18" s="7"/>
      <c r="I18" s="7"/>
      <c r="J18" s="50"/>
      <c r="K18" s="7"/>
      <c r="L18" s="7"/>
      <c r="M18" s="7"/>
      <c r="N18" s="7"/>
      <c r="O18" s="7"/>
      <c r="P18" s="7"/>
      <c r="Q18" s="7"/>
      <c r="R18" s="7"/>
      <c r="S18" s="7"/>
      <c r="T18" s="7"/>
      <c r="U18" s="7"/>
      <c r="V18" s="7"/>
      <c r="W18" s="7"/>
      <c r="X18" s="7"/>
      <c r="Y18" s="7"/>
      <c r="Z18" s="7"/>
      <c r="AA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J974" s="50"/>
      <c r="K974" s="7"/>
      <c r="L974" s="7"/>
      <c r="M974" s="7"/>
      <c r="N974" s="7"/>
      <c r="O974" s="7"/>
      <c r="P974" s="7"/>
      <c r="Q974" s="7"/>
      <c r="R974" s="7"/>
      <c r="S974" s="7"/>
      <c r="T974" s="7"/>
      <c r="U974" s="7"/>
      <c r="V974" s="7"/>
      <c r="W974" s="7"/>
      <c r="X974" s="7"/>
      <c r="Y974" s="7"/>
      <c r="Z974" s="7"/>
      <c r="AA974" s="7"/>
    </row>
    <row r="975" spans="1:27">
      <c r="J975" s="50"/>
      <c r="K975" s="7"/>
      <c r="L975" s="7"/>
      <c r="M975" s="7"/>
      <c r="N975" s="7"/>
      <c r="O975" s="7"/>
      <c r="P975" s="7"/>
      <c r="Q975" s="7"/>
      <c r="R975" s="7"/>
      <c r="S975" s="7"/>
      <c r="T975" s="7"/>
      <c r="U975" s="7"/>
      <c r="V975" s="7"/>
      <c r="W975" s="7"/>
      <c r="X975" s="7"/>
      <c r="Y975" s="7"/>
      <c r="Z975" s="7"/>
      <c r="AA975" s="7"/>
    </row>
    <row r="976" spans="1:27">
      <c r="J976" s="50"/>
      <c r="K976" s="7"/>
      <c r="L976" s="7"/>
      <c r="M976" s="7"/>
      <c r="N976" s="7"/>
      <c r="O976" s="7"/>
      <c r="P976" s="7"/>
      <c r="Q976" s="7"/>
      <c r="R976" s="7"/>
      <c r="S976" s="7"/>
      <c r="T976" s="7"/>
      <c r="U976" s="7"/>
      <c r="V976" s="7"/>
      <c r="W976" s="7"/>
      <c r="X976" s="7"/>
      <c r="Y976" s="7"/>
      <c r="Z976" s="7"/>
      <c r="AA976" s="7"/>
    </row>
    <row r="977" spans="10:27">
      <c r="J977" s="50"/>
      <c r="K977" s="7"/>
      <c r="L977" s="7"/>
      <c r="M977" s="7"/>
      <c r="N977" s="7"/>
      <c r="O977" s="7"/>
      <c r="P977" s="7"/>
      <c r="Q977" s="7"/>
      <c r="R977" s="7"/>
      <c r="S977" s="7"/>
      <c r="T977" s="7"/>
      <c r="U977" s="7"/>
      <c r="V977" s="7"/>
      <c r="W977" s="7"/>
      <c r="X977" s="7"/>
      <c r="Y977" s="7"/>
      <c r="Z977" s="7"/>
      <c r="AA977" s="7"/>
    </row>
    <row r="978" spans="10:27">
      <c r="J978" s="50"/>
      <c r="K978" s="7"/>
      <c r="L978" s="7"/>
      <c r="M978" s="7"/>
      <c r="N978" s="7"/>
      <c r="O978" s="7"/>
      <c r="P978" s="7"/>
      <c r="Q978" s="7"/>
      <c r="R978" s="7"/>
      <c r="S978" s="7"/>
      <c r="T978" s="7"/>
      <c r="U978" s="7"/>
      <c r="V978" s="7"/>
      <c r="W978" s="7"/>
      <c r="X978" s="7"/>
      <c r="Y978" s="7"/>
      <c r="Z978" s="7"/>
      <c r="AA978" s="7"/>
    </row>
    <row r="979" spans="10:27">
      <c r="J979" s="50"/>
      <c r="K979" s="7"/>
      <c r="L979" s="7"/>
      <c r="M979" s="7"/>
      <c r="N979" s="7"/>
      <c r="O979" s="7"/>
      <c r="P979" s="7"/>
      <c r="Q979" s="7"/>
      <c r="R979" s="7"/>
      <c r="S979" s="7"/>
      <c r="T979" s="7"/>
      <c r="U979" s="7"/>
      <c r="V979" s="7"/>
      <c r="W979" s="7"/>
      <c r="X979" s="7"/>
      <c r="Y979" s="7"/>
      <c r="Z979" s="7"/>
      <c r="AA979" s="7"/>
    </row>
    <row r="980" spans="10:27">
      <c r="J980" s="50"/>
      <c r="K980" s="7"/>
      <c r="L980" s="7"/>
      <c r="M980" s="7"/>
      <c r="N980" s="7"/>
      <c r="O980" s="7"/>
      <c r="P980" s="7"/>
      <c r="Q980" s="7"/>
      <c r="R980" s="7"/>
      <c r="S980" s="7"/>
      <c r="T980" s="7"/>
      <c r="U980" s="7"/>
      <c r="V980" s="7"/>
      <c r="W980" s="7"/>
      <c r="X980" s="7"/>
      <c r="Y980" s="7"/>
      <c r="Z980" s="7"/>
      <c r="AA980" s="7"/>
    </row>
    <row r="981" spans="10:27">
      <c r="J981" s="50"/>
      <c r="K981" s="7"/>
      <c r="L981" s="7"/>
      <c r="M981" s="7"/>
      <c r="N981" s="7"/>
      <c r="O981" s="7"/>
      <c r="P981" s="7"/>
      <c r="Q981" s="7"/>
      <c r="R981" s="7"/>
      <c r="S981" s="7"/>
      <c r="T981" s="7"/>
      <c r="U981" s="7"/>
      <c r="V981" s="7"/>
      <c r="W981" s="7"/>
      <c r="X981" s="7"/>
      <c r="Y981" s="7"/>
      <c r="Z981" s="7"/>
      <c r="AA981" s="7"/>
    </row>
    <row r="982" spans="10:27">
      <c r="J982" s="50"/>
      <c r="K982" s="7"/>
      <c r="L982" s="7"/>
      <c r="M982" s="7"/>
      <c r="N982" s="7"/>
      <c r="O982" s="7"/>
      <c r="P982" s="7"/>
      <c r="Q982" s="7"/>
      <c r="R982" s="7"/>
      <c r="S982" s="7"/>
      <c r="T982" s="7"/>
      <c r="U982" s="7"/>
      <c r="V982" s="7"/>
      <c r="W982" s="7"/>
      <c r="X982" s="7"/>
      <c r="Y982" s="7"/>
      <c r="Z982" s="7"/>
      <c r="AA982" s="7"/>
    </row>
    <row r="983" spans="10:27">
      <c r="J983" s="50"/>
      <c r="K983" s="7"/>
      <c r="L983" s="7"/>
      <c r="M983" s="7"/>
      <c r="N983" s="7"/>
      <c r="O983" s="7"/>
      <c r="P983" s="7"/>
      <c r="Q983" s="7"/>
      <c r="R983" s="7"/>
      <c r="S983" s="7"/>
      <c r="T983" s="7"/>
      <c r="U983" s="7"/>
      <c r="V983" s="7"/>
      <c r="W983" s="7"/>
      <c r="X983" s="7"/>
      <c r="Y983" s="7"/>
      <c r="Z983" s="7"/>
      <c r="AA983" s="7"/>
    </row>
    <row r="984" spans="10:27">
      <c r="J984" s="50"/>
      <c r="K984" s="7"/>
      <c r="L984" s="7"/>
      <c r="M984" s="7"/>
      <c r="N984" s="7"/>
      <c r="O984" s="7"/>
      <c r="P984" s="7"/>
      <c r="Q984" s="7"/>
      <c r="R984" s="7"/>
      <c r="S984" s="7"/>
      <c r="T984" s="7"/>
      <c r="U984" s="7"/>
      <c r="V984" s="7"/>
      <c r="W984" s="7"/>
      <c r="X984" s="7"/>
      <c r="Y984" s="7"/>
      <c r="Z984" s="7"/>
      <c r="AA984" s="7"/>
    </row>
    <row r="985" spans="10:27">
      <c r="J985" s="50"/>
      <c r="K985" s="7"/>
      <c r="L985" s="7"/>
      <c r="M985" s="7"/>
      <c r="N985" s="7"/>
      <c r="O985" s="7"/>
      <c r="P985" s="7"/>
      <c r="Q985" s="7"/>
      <c r="R985" s="7"/>
      <c r="S985" s="7"/>
      <c r="T985" s="7"/>
      <c r="U985" s="7"/>
      <c r="V985" s="7"/>
      <c r="W985" s="7"/>
      <c r="X985" s="7"/>
      <c r="Y985" s="7"/>
      <c r="Z985" s="7"/>
      <c r="AA985" s="7"/>
    </row>
    <row r="986" spans="10:27">
      <c r="J986" s="50"/>
      <c r="K986" s="7"/>
      <c r="L986" s="7"/>
      <c r="M986" s="7"/>
      <c r="N986" s="7"/>
      <c r="O986" s="7"/>
      <c r="P986" s="7"/>
      <c r="Q986" s="7"/>
      <c r="R986" s="7"/>
      <c r="S986" s="7"/>
      <c r="T986" s="7"/>
      <c r="U986" s="7"/>
      <c r="V986" s="7"/>
      <c r="W986" s="7"/>
      <c r="X986" s="7"/>
      <c r="Y986" s="7"/>
      <c r="Z986" s="7"/>
      <c r="AA986" s="7"/>
    </row>
    <row r="987" spans="10:27">
      <c r="J987" s="50"/>
      <c r="K987" s="7"/>
      <c r="L987" s="7"/>
      <c r="M987" s="7"/>
      <c r="N987" s="7"/>
      <c r="O987" s="7"/>
      <c r="P987" s="7"/>
      <c r="Q987" s="7"/>
      <c r="R987" s="7"/>
      <c r="S987" s="7"/>
      <c r="T987" s="7"/>
      <c r="U987" s="7"/>
      <c r="V987" s="7"/>
      <c r="W987" s="7"/>
      <c r="X987" s="7"/>
      <c r="Y987" s="7"/>
      <c r="Z987" s="7"/>
      <c r="AA987" s="7"/>
    </row>
    <row r="988" spans="10:27">
      <c r="J988" s="50"/>
      <c r="K988" s="7"/>
      <c r="L988" s="7"/>
      <c r="M988" s="7"/>
      <c r="N988" s="7"/>
      <c r="O988" s="7"/>
      <c r="P988" s="7"/>
      <c r="Q988" s="7"/>
      <c r="R988" s="7"/>
      <c r="S988" s="7"/>
      <c r="T988" s="7"/>
      <c r="U988" s="7"/>
      <c r="V988" s="7"/>
      <c r="W988" s="7"/>
      <c r="X988" s="7"/>
      <c r="Y988" s="7"/>
      <c r="Z988" s="7"/>
      <c r="AA988" s="7"/>
    </row>
    <row r="989" spans="10:27">
      <c r="J989" s="50"/>
      <c r="K989" s="7"/>
      <c r="L989" s="7"/>
      <c r="M989" s="7"/>
      <c r="N989" s="7"/>
      <c r="O989" s="7"/>
      <c r="P989" s="7"/>
      <c r="Q989" s="7"/>
      <c r="R989" s="7"/>
      <c r="S989" s="7"/>
      <c r="T989" s="7"/>
      <c r="U989" s="7"/>
      <c r="V989" s="7"/>
      <c r="W989" s="7"/>
      <c r="X989" s="7"/>
      <c r="Y989" s="7"/>
      <c r="Z989" s="7"/>
      <c r="AA989" s="7"/>
    </row>
    <row r="990" spans="10:27">
      <c r="J990" s="50"/>
      <c r="K990" s="7"/>
      <c r="L990" s="7"/>
      <c r="M990" s="7"/>
      <c r="N990" s="7"/>
      <c r="O990" s="7"/>
      <c r="P990" s="7"/>
      <c r="Q990" s="7"/>
      <c r="R990" s="7"/>
      <c r="S990" s="7"/>
      <c r="T990" s="7"/>
      <c r="U990" s="7"/>
      <c r="V990" s="7"/>
      <c r="W990" s="7"/>
      <c r="X990" s="7"/>
      <c r="Y990" s="7"/>
      <c r="Z990" s="7"/>
      <c r="AA990" s="7"/>
    </row>
    <row r="991" spans="10:27">
      <c r="J991" s="50"/>
      <c r="K991" s="7"/>
      <c r="L991" s="7"/>
      <c r="M991" s="7"/>
      <c r="N991" s="7"/>
      <c r="O991" s="7"/>
      <c r="P991" s="7"/>
      <c r="Q991" s="7"/>
      <c r="R991" s="7"/>
      <c r="S991" s="7"/>
      <c r="T991" s="7"/>
      <c r="U991" s="7"/>
      <c r="V991" s="7"/>
      <c r="W991" s="7"/>
      <c r="X991" s="7"/>
      <c r="Y991" s="7"/>
      <c r="Z991" s="7"/>
      <c r="AA991" s="7"/>
    </row>
    <row r="992" spans="10: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G12:G116 F8:F12">
      <formula1>$K$2:$K$6</formula1>
    </dataValidation>
  </dataValidations>
  <pageMargins left="0.7" right="0.7" top="0.75" bottom="0.75" header="0" footer="0"/>
  <pageSetup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C7" workbookViewId="0">
      <selection activeCell="D6" sqref="D6"/>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158</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154</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ht="15" customHeight="1">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COUNTIF($F$8:$F$971,K2)</f>
        <v>5</v>
      </c>
      <c r="C6" s="41">
        <f>COUNTIF($F$8:$F$971,K3)</f>
        <v>2</v>
      </c>
      <c r="D6" s="41">
        <f>COUNTIF($F$8:$F$971,K5)</f>
        <v>0</v>
      </c>
      <c r="E6" s="41">
        <f>COUNTIF($F$8:$F$971,K4)</f>
        <v>0</v>
      </c>
      <c r="F6" s="41">
        <f>COUNTIF($F$8:$F$971,K6)</f>
        <v>0</v>
      </c>
      <c r="G6" s="117">
        <f>COUNTA(A9:A977)</f>
        <v>7</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51">
      <c r="A9" s="80" t="str">
        <f>IF(OR(B9&lt;&gt;"",D9&lt;&gt;""),"["&amp;TEXT($B$2,"##")&amp;"-"&amp;TEXT(ROW()-8,"##")&amp;"]","")</f>
        <v>[USR_UPTDATE-1]</v>
      </c>
      <c r="B9" s="81" t="s">
        <v>86</v>
      </c>
      <c r="C9" t="s">
        <v>87</v>
      </c>
      <c r="D9" s="52" t="s">
        <v>94</v>
      </c>
      <c r="E9" s="52" t="s">
        <v>88</v>
      </c>
      <c r="F9" s="51" t="s">
        <v>20</v>
      </c>
      <c r="G9" s="48"/>
      <c r="H9" s="7"/>
      <c r="I9" s="7"/>
      <c r="J9" s="7"/>
      <c r="K9" s="7"/>
      <c r="L9" s="7"/>
      <c r="M9" s="7"/>
      <c r="N9" s="7"/>
      <c r="O9" s="7"/>
      <c r="P9" s="7"/>
      <c r="Q9" s="7"/>
      <c r="R9" s="7"/>
      <c r="S9" s="7"/>
      <c r="T9" s="7"/>
      <c r="U9" s="7"/>
      <c r="V9" s="7"/>
      <c r="W9" s="7"/>
      <c r="X9" s="7"/>
    </row>
    <row r="10" spans="1:27" ht="76.5">
      <c r="A10" s="80" t="str">
        <f t="shared" ref="A10:A15" si="0">IF(OR(B10&lt;&gt;"",D10&lt;&gt;""),"["&amp;TEXT($B$2,"##")&amp;"-"&amp;TEXT(ROW()-8,"##")&amp;"]","")</f>
        <v>[USR_UPTDATE-2]</v>
      </c>
      <c r="B10" s="81" t="s">
        <v>89</v>
      </c>
      <c r="C10" t="s">
        <v>90</v>
      </c>
      <c r="D10" s="52" t="s">
        <v>95</v>
      </c>
      <c r="E10" s="52" t="s">
        <v>91</v>
      </c>
      <c r="F10" s="51" t="s">
        <v>20</v>
      </c>
      <c r="G10" s="48"/>
      <c r="H10" s="7"/>
      <c r="I10" s="7"/>
      <c r="J10" s="7"/>
      <c r="K10" s="7"/>
      <c r="L10" s="7"/>
      <c r="M10" s="7"/>
      <c r="N10" s="7"/>
      <c r="O10" s="7"/>
      <c r="P10" s="7"/>
      <c r="Q10" s="7"/>
      <c r="R10" s="7"/>
      <c r="S10" s="7"/>
      <c r="T10" s="7"/>
      <c r="U10" s="7"/>
      <c r="V10" s="7"/>
      <c r="W10" s="7"/>
      <c r="X10" s="7"/>
    </row>
    <row r="11" spans="1:27" ht="51">
      <c r="A11" s="80" t="str">
        <f t="shared" si="0"/>
        <v>[USR_UPTDATE-3]</v>
      </c>
      <c r="B11" s="81" t="s">
        <v>92</v>
      </c>
      <c r="C11" t="s">
        <v>93</v>
      </c>
      <c r="D11" s="52" t="s">
        <v>96</v>
      </c>
      <c r="E11" s="52" t="s">
        <v>97</v>
      </c>
      <c r="F11" s="51" t="s">
        <v>22</v>
      </c>
      <c r="G11" s="49"/>
      <c r="H11" s="34"/>
      <c r="I11" s="34"/>
      <c r="J11" s="34"/>
      <c r="K11" s="34"/>
      <c r="L11" s="34"/>
      <c r="M11" s="34"/>
      <c r="N11" s="34"/>
      <c r="O11" s="34"/>
      <c r="P11" s="34"/>
      <c r="Q11" s="34"/>
      <c r="R11" s="34"/>
      <c r="S11" s="34"/>
      <c r="T11" s="34"/>
      <c r="U11" s="34"/>
      <c r="V11" s="34"/>
      <c r="W11" s="34"/>
      <c r="X11" s="34"/>
    </row>
    <row r="12" spans="1:27" ht="38.25">
      <c r="A12" s="80" t="str">
        <f t="shared" si="0"/>
        <v>[USR_UPTDATE-4]</v>
      </c>
      <c r="B12" s="81" t="s">
        <v>98</v>
      </c>
      <c r="C12" t="s">
        <v>99</v>
      </c>
      <c r="D12" s="52" t="s">
        <v>100</v>
      </c>
      <c r="E12" s="52" t="s">
        <v>101</v>
      </c>
      <c r="F12" s="51" t="s">
        <v>22</v>
      </c>
      <c r="G12" s="48"/>
      <c r="H12" s="7"/>
      <c r="I12" s="7"/>
      <c r="J12" s="7"/>
      <c r="K12" s="7"/>
      <c r="L12" s="7"/>
      <c r="M12" s="7"/>
      <c r="N12" s="7"/>
      <c r="O12" s="7"/>
      <c r="P12" s="7"/>
      <c r="Q12" s="7"/>
      <c r="R12" s="7"/>
      <c r="S12" s="7"/>
      <c r="T12" s="7"/>
      <c r="U12" s="7"/>
      <c r="V12" s="7"/>
      <c r="W12" s="7"/>
      <c r="X12" s="7"/>
    </row>
    <row r="13" spans="1:27" ht="51">
      <c r="A13" s="80" t="str">
        <f t="shared" si="0"/>
        <v>[USR_UPTDATE-5]</v>
      </c>
      <c r="B13" s="81" t="s">
        <v>102</v>
      </c>
      <c r="C13" t="s">
        <v>103</v>
      </c>
      <c r="D13" s="52" t="s">
        <v>104</v>
      </c>
      <c r="E13" s="52" t="s">
        <v>88</v>
      </c>
      <c r="F13" s="51" t="s">
        <v>20</v>
      </c>
      <c r="G13" s="50"/>
      <c r="H13" s="7"/>
      <c r="I13" s="7"/>
      <c r="J13" s="7"/>
      <c r="K13" s="7"/>
      <c r="L13" s="7"/>
      <c r="M13" s="7"/>
      <c r="N13" s="7"/>
      <c r="O13" s="7"/>
      <c r="P13" s="7"/>
      <c r="Q13" s="7"/>
      <c r="R13" s="7"/>
      <c r="S13" s="7"/>
      <c r="T13" s="7"/>
      <c r="U13" s="7"/>
      <c r="V13" s="7"/>
      <c r="W13" s="7"/>
      <c r="X13" s="7"/>
    </row>
    <row r="14" spans="1:27" ht="38.25">
      <c r="A14" s="80" t="str">
        <f t="shared" si="0"/>
        <v>[USR_UPTDATE-6]</v>
      </c>
      <c r="B14" s="81" t="s">
        <v>105</v>
      </c>
      <c r="C14" t="s">
        <v>106</v>
      </c>
      <c r="D14" s="52" t="s">
        <v>107</v>
      </c>
      <c r="E14" s="52" t="s">
        <v>108</v>
      </c>
      <c r="F14" s="51" t="s">
        <v>20</v>
      </c>
      <c r="G14" s="49"/>
      <c r="H14" s="34"/>
      <c r="I14" s="34"/>
      <c r="J14" s="34"/>
      <c r="K14" s="34"/>
      <c r="L14" s="34"/>
      <c r="M14" s="34"/>
      <c r="N14" s="34"/>
      <c r="O14" s="34"/>
      <c r="P14" s="34"/>
      <c r="Q14" s="34"/>
      <c r="R14" s="34"/>
      <c r="S14" s="34"/>
      <c r="T14" s="34"/>
      <c r="U14" s="34"/>
      <c r="V14" s="34"/>
      <c r="W14" s="34"/>
      <c r="X14" s="34"/>
    </row>
    <row r="15" spans="1:27" ht="63.75">
      <c r="A15" s="80" t="str">
        <f t="shared" si="0"/>
        <v>[USR_UPTDATE-7]</v>
      </c>
      <c r="B15" s="81" t="s">
        <v>109</v>
      </c>
      <c r="C15" t="s">
        <v>93</v>
      </c>
      <c r="D15" s="52" t="s">
        <v>110</v>
      </c>
      <c r="E15" s="52" t="s">
        <v>111</v>
      </c>
      <c r="F15" s="51" t="s">
        <v>20</v>
      </c>
      <c r="G15" s="48"/>
      <c r="H15" s="7"/>
      <c r="I15" s="7"/>
      <c r="J15" s="7"/>
      <c r="K15" s="7"/>
      <c r="L15" s="7"/>
      <c r="M15" s="7"/>
      <c r="N15" s="7"/>
      <c r="O15" s="7"/>
      <c r="P15" s="7"/>
      <c r="Q15" s="7"/>
      <c r="R15" s="7"/>
      <c r="S15" s="7"/>
      <c r="T15" s="7"/>
      <c r="U15" s="7"/>
      <c r="V15" s="7"/>
      <c r="W15" s="7"/>
      <c r="X15" s="7"/>
    </row>
    <row r="16" spans="1:27">
      <c r="A16" s="7"/>
      <c r="B16" s="7"/>
      <c r="C16" s="83"/>
      <c r="D16" s="7"/>
      <c r="E16" s="7"/>
      <c r="F16" s="7"/>
      <c r="G16" s="7"/>
      <c r="H16" s="7"/>
      <c r="I16" s="7"/>
      <c r="J16" s="50"/>
      <c r="K16" s="7"/>
      <c r="L16" s="7"/>
      <c r="M16" s="7"/>
      <c r="N16" s="7"/>
      <c r="O16" s="7"/>
      <c r="P16" s="7"/>
      <c r="Q16" s="7"/>
      <c r="R16" s="7"/>
      <c r="S16" s="7"/>
      <c r="T16" s="7"/>
      <c r="U16" s="7"/>
      <c r="V16" s="7"/>
      <c r="W16" s="7"/>
      <c r="X16" s="7"/>
      <c r="Y16" s="7"/>
      <c r="Z16" s="7"/>
      <c r="AA16" s="7"/>
    </row>
    <row r="17" spans="1:27">
      <c r="A17" s="7"/>
      <c r="B17" s="7"/>
      <c r="C17" s="83"/>
      <c r="D17" s="7"/>
      <c r="E17" s="7"/>
      <c r="F17" s="7"/>
      <c r="G17" s="7"/>
      <c r="H17" s="7"/>
      <c r="I17" s="7"/>
      <c r="J17" s="50"/>
      <c r="K17" s="7"/>
      <c r="L17" s="7"/>
      <c r="M17" s="7"/>
      <c r="N17" s="7"/>
      <c r="O17" s="7"/>
      <c r="P17" s="7"/>
      <c r="Q17" s="7"/>
      <c r="R17" s="7"/>
      <c r="S17" s="7"/>
      <c r="T17" s="7"/>
      <c r="U17" s="7"/>
      <c r="V17" s="7"/>
      <c r="W17" s="7"/>
      <c r="X17" s="7"/>
      <c r="Y17" s="7"/>
      <c r="Z17" s="7"/>
      <c r="AA17" s="7"/>
    </row>
    <row r="18" spans="1:27">
      <c r="A18" s="7"/>
      <c r="B18" s="7"/>
      <c r="C18" s="83"/>
      <c r="D18" s="7"/>
      <c r="E18" s="7"/>
      <c r="F18" s="7"/>
      <c r="G18" s="7"/>
      <c r="H18" s="7"/>
      <c r="I18" s="7"/>
      <c r="J18" s="50"/>
      <c r="K18" s="7"/>
      <c r="L18" s="7"/>
      <c r="M18" s="7"/>
      <c r="N18" s="7"/>
      <c r="O18" s="7"/>
      <c r="P18" s="7"/>
      <c r="Q18" s="7"/>
      <c r="R18" s="7"/>
      <c r="S18" s="7"/>
      <c r="T18" s="7"/>
      <c r="U18" s="7"/>
      <c r="V18" s="7"/>
      <c r="W18" s="7"/>
      <c r="X18" s="7"/>
      <c r="Y18" s="7"/>
      <c r="Z18" s="7"/>
      <c r="AA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G975" s="7"/>
      <c r="H975" s="7"/>
      <c r="I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G976" s="7"/>
      <c r="H976" s="7"/>
      <c r="I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G977" s="7"/>
      <c r="H977" s="7"/>
      <c r="I977" s="7"/>
      <c r="J977" s="50"/>
      <c r="K977" s="7"/>
      <c r="L977" s="7"/>
      <c r="M977" s="7"/>
      <c r="N977" s="7"/>
      <c r="O977" s="7"/>
      <c r="P977" s="7"/>
      <c r="Q977" s="7"/>
      <c r="R977" s="7"/>
      <c r="S977" s="7"/>
      <c r="T977" s="7"/>
      <c r="U977" s="7"/>
      <c r="V977" s="7"/>
      <c r="W977" s="7"/>
      <c r="X977" s="7"/>
      <c r="Y977" s="7"/>
      <c r="Z977" s="7"/>
      <c r="AA977" s="7"/>
    </row>
    <row r="978" spans="1:27">
      <c r="J978" s="50"/>
      <c r="K978" s="7"/>
      <c r="L978" s="7"/>
      <c r="M978" s="7"/>
      <c r="N978" s="7"/>
      <c r="O978" s="7"/>
      <c r="P978" s="7"/>
      <c r="Q978" s="7"/>
      <c r="R978" s="7"/>
      <c r="S978" s="7"/>
      <c r="T978" s="7"/>
      <c r="U978" s="7"/>
      <c r="V978" s="7"/>
      <c r="W978" s="7"/>
      <c r="X978" s="7"/>
      <c r="Y978" s="7"/>
      <c r="Z978" s="7"/>
      <c r="AA978" s="7"/>
    </row>
    <row r="979" spans="1:27">
      <c r="J979" s="50"/>
      <c r="K979" s="7"/>
      <c r="L979" s="7"/>
      <c r="M979" s="7"/>
      <c r="N979" s="7"/>
      <c r="O979" s="7"/>
      <c r="P979" s="7"/>
      <c r="Q979" s="7"/>
      <c r="R979" s="7"/>
      <c r="S979" s="7"/>
      <c r="T979" s="7"/>
      <c r="U979" s="7"/>
      <c r="V979" s="7"/>
      <c r="W979" s="7"/>
      <c r="X979" s="7"/>
      <c r="Y979" s="7"/>
      <c r="Z979" s="7"/>
      <c r="AA979" s="7"/>
    </row>
    <row r="980" spans="1:2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5 G16:G120">
      <formula1>$K$2:$K$6</formula1>
    </dataValidation>
  </dataValidations>
  <pageMargins left="0.7" right="0.7" top="0.75" bottom="0.75" header="0" footer="0"/>
  <pageSetup orientation="landscape"/>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workbookViewId="0">
      <selection activeCell="B11" sqref="B11"/>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159</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154</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ht="15" customHeight="1">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COUNTIF($F$8:$F$971,K2)</f>
        <v>9</v>
      </c>
      <c r="C6" s="41">
        <f>COUNTIF($F$8:$F$971,K3)</f>
        <v>1</v>
      </c>
      <c r="D6" s="41">
        <f>COUNTIF($F$8:$F$971,K5)</f>
        <v>0</v>
      </c>
      <c r="E6" s="41">
        <f>COUNTIF($F$8:$F$971,K4)</f>
        <v>0</v>
      </c>
      <c r="F6" s="41">
        <f>COUNTIF($F$8:$F$971,K6)</f>
        <v>0</v>
      </c>
      <c r="G6" s="117">
        <f>COUNTA(A9:A977)</f>
        <v>10</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25.5">
      <c r="A9" s="80" t="str">
        <f>IF(OR(B9&lt;&gt;"",D9&lt;&gt;""),"["&amp;TEXT($B$2,"##")&amp;"-"&amp;TEXT(ROW()-8,"##")&amp;"]","")</f>
        <v>[USR_Pay-1]</v>
      </c>
      <c r="B9" s="81" t="s">
        <v>112</v>
      </c>
      <c r="C9" t="s">
        <v>113</v>
      </c>
      <c r="D9" s="52" t="s">
        <v>114</v>
      </c>
      <c r="E9" s="52" t="s">
        <v>115</v>
      </c>
      <c r="F9" s="51" t="s">
        <v>20</v>
      </c>
      <c r="G9" s="48"/>
      <c r="H9" s="7"/>
      <c r="I9" s="7"/>
      <c r="J9" s="7"/>
      <c r="K9" s="7"/>
      <c r="L9" s="7"/>
      <c r="M9" s="7"/>
      <c r="N9" s="7"/>
      <c r="O9" s="7"/>
      <c r="P9" s="7"/>
      <c r="Q9" s="7"/>
      <c r="R9" s="7"/>
      <c r="S9" s="7"/>
      <c r="T9" s="7"/>
      <c r="U9" s="7"/>
      <c r="V9" s="7"/>
      <c r="W9" s="7"/>
      <c r="X9" s="7"/>
    </row>
    <row r="10" spans="1:27" ht="38.25">
      <c r="A10" s="80" t="str">
        <f t="shared" ref="A10:A18" si="0">IF(OR(B10&lt;&gt;"",D10&lt;&gt;""),"["&amp;TEXT($B$2,"##")&amp;"-"&amp;TEXT(ROW()-8,"##")&amp;"]","")</f>
        <v>[USR_Pay-2]</v>
      </c>
      <c r="B10" s="81" t="s">
        <v>230</v>
      </c>
      <c r="C10" t="s">
        <v>116</v>
      </c>
      <c r="D10" s="52" t="s">
        <v>117</v>
      </c>
      <c r="E10" s="52" t="s">
        <v>118</v>
      </c>
      <c r="F10" s="51" t="s">
        <v>20</v>
      </c>
      <c r="G10" s="48"/>
      <c r="H10" s="7"/>
      <c r="I10" s="7"/>
      <c r="J10" s="7"/>
      <c r="K10" s="7"/>
      <c r="L10" s="7"/>
      <c r="M10" s="7"/>
      <c r="N10" s="7"/>
      <c r="O10" s="7"/>
      <c r="P10" s="7"/>
      <c r="Q10" s="7"/>
      <c r="R10" s="7"/>
      <c r="S10" s="7"/>
      <c r="T10" s="7"/>
      <c r="U10" s="7"/>
      <c r="V10" s="7"/>
      <c r="W10" s="7"/>
      <c r="X10" s="7"/>
    </row>
    <row r="11" spans="1:27" ht="38.25">
      <c r="A11" s="80" t="str">
        <f t="shared" si="0"/>
        <v>[USR_Pay-3]</v>
      </c>
      <c r="B11" s="81" t="s">
        <v>231</v>
      </c>
      <c r="C11" t="s">
        <v>121</v>
      </c>
      <c r="D11" s="52" t="s">
        <v>120</v>
      </c>
      <c r="E11" s="52" t="s">
        <v>119</v>
      </c>
      <c r="F11" s="51" t="s">
        <v>20</v>
      </c>
      <c r="G11" s="49"/>
      <c r="H11" s="34"/>
      <c r="I11" s="34"/>
      <c r="J11" s="34"/>
      <c r="K11" s="34"/>
      <c r="L11" s="34"/>
      <c r="M11" s="34"/>
      <c r="N11" s="34"/>
      <c r="O11" s="34"/>
      <c r="P11" s="34"/>
      <c r="Q11" s="34"/>
      <c r="R11" s="34"/>
      <c r="S11" s="34"/>
      <c r="T11" s="34"/>
      <c r="U11" s="34"/>
      <c r="V11" s="34"/>
      <c r="W11" s="34"/>
      <c r="X11" s="34"/>
    </row>
    <row r="12" spans="1:27" ht="38.25">
      <c r="A12" s="80" t="str">
        <f t="shared" si="0"/>
        <v>[USR_Pay-4]</v>
      </c>
      <c r="B12" s="81" t="s">
        <v>122</v>
      </c>
      <c r="C12" t="s">
        <v>123</v>
      </c>
      <c r="D12" s="52" t="s">
        <v>120</v>
      </c>
      <c r="E12" s="52" t="s">
        <v>124</v>
      </c>
      <c r="F12" s="51" t="s">
        <v>20</v>
      </c>
      <c r="G12" s="48"/>
      <c r="H12" s="7"/>
      <c r="I12" s="7"/>
      <c r="J12" s="7"/>
      <c r="K12" s="7"/>
      <c r="L12" s="7"/>
      <c r="M12" s="7"/>
      <c r="N12" s="7"/>
      <c r="O12" s="7"/>
      <c r="P12" s="7"/>
      <c r="Q12" s="7"/>
      <c r="R12" s="7"/>
      <c r="S12" s="7"/>
      <c r="T12" s="7"/>
      <c r="U12" s="7"/>
      <c r="V12" s="7"/>
      <c r="W12" s="7"/>
      <c r="X12" s="7"/>
    </row>
    <row r="13" spans="1:27" ht="76.5">
      <c r="A13" s="80" t="str">
        <f t="shared" si="0"/>
        <v>[USR_Pay-5]</v>
      </c>
      <c r="B13" s="81" t="s">
        <v>125</v>
      </c>
      <c r="C13" t="s">
        <v>126</v>
      </c>
      <c r="D13" s="52" t="s">
        <v>128</v>
      </c>
      <c r="E13" s="52" t="s">
        <v>127</v>
      </c>
      <c r="F13" s="51" t="s">
        <v>20</v>
      </c>
      <c r="G13" s="50"/>
      <c r="H13" s="7"/>
      <c r="I13" s="7"/>
      <c r="J13" s="7"/>
      <c r="K13" s="7"/>
      <c r="L13" s="7"/>
      <c r="M13" s="7"/>
      <c r="N13" s="7"/>
      <c r="O13" s="7"/>
      <c r="P13" s="7"/>
      <c r="Q13" s="7"/>
      <c r="R13" s="7"/>
      <c r="S13" s="7"/>
      <c r="T13" s="7"/>
      <c r="U13" s="7"/>
      <c r="V13" s="7"/>
      <c r="W13" s="7"/>
      <c r="X13" s="7"/>
    </row>
    <row r="14" spans="1:27" ht="89.25">
      <c r="A14" s="80" t="str">
        <f t="shared" si="0"/>
        <v>[USR_Pay-6]</v>
      </c>
      <c r="B14" s="81" t="s">
        <v>129</v>
      </c>
      <c r="C14" t="s">
        <v>93</v>
      </c>
      <c r="D14" s="52" t="s">
        <v>130</v>
      </c>
      <c r="E14" s="52" t="s">
        <v>131</v>
      </c>
      <c r="F14" s="51" t="s">
        <v>20</v>
      </c>
      <c r="G14" s="49"/>
      <c r="H14" s="34"/>
      <c r="I14" s="34"/>
      <c r="J14" s="34"/>
      <c r="K14" s="34"/>
      <c r="L14" s="34"/>
      <c r="M14" s="34"/>
      <c r="N14" s="34"/>
      <c r="O14" s="34"/>
      <c r="P14" s="34"/>
      <c r="Q14" s="34"/>
      <c r="R14" s="34"/>
      <c r="S14" s="34"/>
      <c r="T14" s="34"/>
      <c r="U14" s="34"/>
      <c r="V14" s="34"/>
      <c r="W14" s="34"/>
      <c r="X14" s="34"/>
    </row>
    <row r="15" spans="1:27" ht="89.25">
      <c r="A15" s="80" t="str">
        <f t="shared" si="0"/>
        <v>[USR_Pay-7]</v>
      </c>
      <c r="B15" s="81" t="s">
        <v>132</v>
      </c>
      <c r="C15" t="s">
        <v>93</v>
      </c>
      <c r="D15" s="52" t="s">
        <v>133</v>
      </c>
      <c r="E15" s="52" t="s">
        <v>134</v>
      </c>
      <c r="F15" s="51" t="s">
        <v>22</v>
      </c>
      <c r="G15" s="48"/>
      <c r="H15" s="7"/>
      <c r="I15" s="7"/>
      <c r="J15" s="7"/>
      <c r="K15" s="7"/>
      <c r="L15" s="7"/>
      <c r="M15" s="7"/>
      <c r="N15" s="7"/>
      <c r="O15" s="7"/>
      <c r="P15" s="7"/>
      <c r="Q15" s="7"/>
      <c r="R15" s="7"/>
      <c r="S15" s="7"/>
      <c r="T15" s="7"/>
      <c r="U15" s="7"/>
      <c r="V15" s="7"/>
      <c r="W15" s="7"/>
      <c r="X15" s="7"/>
    </row>
    <row r="16" spans="1:27" ht="89.25">
      <c r="A16" s="80" t="str">
        <f t="shared" si="0"/>
        <v>[USR_Pay-8]</v>
      </c>
      <c r="B16" s="81" t="s">
        <v>135</v>
      </c>
      <c r="C16" t="s">
        <v>93</v>
      </c>
      <c r="D16" s="52" t="s">
        <v>136</v>
      </c>
      <c r="E16" s="52" t="s">
        <v>137</v>
      </c>
      <c r="F16" s="51" t="s">
        <v>20</v>
      </c>
      <c r="G16" s="50"/>
      <c r="H16" s="7"/>
      <c r="I16" s="7"/>
      <c r="J16" s="7"/>
      <c r="K16" s="7"/>
      <c r="L16" s="7"/>
      <c r="M16" s="7"/>
      <c r="N16" s="7"/>
      <c r="O16" s="7"/>
      <c r="P16" s="7"/>
      <c r="Q16" s="7"/>
      <c r="R16" s="7"/>
      <c r="S16" s="7"/>
      <c r="T16" s="7"/>
      <c r="U16" s="7"/>
      <c r="V16" s="7"/>
      <c r="W16" s="7"/>
      <c r="X16" s="7"/>
    </row>
    <row r="17" spans="1:27" ht="63.75">
      <c r="A17" s="80" t="str">
        <f t="shared" si="0"/>
        <v>[USR_Pay-9]</v>
      </c>
      <c r="B17" s="81" t="s">
        <v>138</v>
      </c>
      <c r="C17" t="s">
        <v>93</v>
      </c>
      <c r="D17" s="52" t="s">
        <v>139</v>
      </c>
      <c r="E17" s="52" t="s">
        <v>140</v>
      </c>
      <c r="F17" s="51" t="s">
        <v>20</v>
      </c>
      <c r="G17" s="50"/>
      <c r="H17" s="7"/>
      <c r="I17" s="7"/>
      <c r="J17" s="7"/>
      <c r="K17" s="7"/>
      <c r="L17" s="7"/>
      <c r="M17" s="7"/>
      <c r="N17" s="7"/>
      <c r="O17" s="7"/>
      <c r="P17" s="7"/>
      <c r="Q17" s="7"/>
      <c r="R17" s="7"/>
      <c r="S17" s="7"/>
      <c r="T17" s="7"/>
      <c r="U17" s="7"/>
      <c r="V17" s="7"/>
      <c r="W17" s="7"/>
      <c r="X17" s="7"/>
    </row>
    <row r="18" spans="1:27" ht="89.25">
      <c r="A18" s="80" t="str">
        <f t="shared" si="0"/>
        <v>[USR_Pay-10]</v>
      </c>
      <c r="B18" s="81" t="s">
        <v>141</v>
      </c>
      <c r="C18" t="s">
        <v>93</v>
      </c>
      <c r="D18" s="52" t="s">
        <v>136</v>
      </c>
      <c r="E18" s="52" t="s">
        <v>142</v>
      </c>
      <c r="F18" s="51" t="s">
        <v>20</v>
      </c>
      <c r="G18" s="50"/>
      <c r="H18" s="7"/>
      <c r="I18" s="7"/>
      <c r="J18" s="7"/>
      <c r="K18" s="7"/>
      <c r="L18" s="7"/>
      <c r="M18" s="7"/>
      <c r="N18" s="7"/>
      <c r="O18" s="7"/>
      <c r="P18" s="7"/>
      <c r="Q18" s="7"/>
      <c r="R18" s="7"/>
      <c r="S18" s="7"/>
      <c r="T18" s="7"/>
      <c r="U18" s="7"/>
      <c r="V18" s="7"/>
      <c r="W18" s="7"/>
      <c r="X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G975" s="7"/>
      <c r="H975" s="7"/>
      <c r="I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G976" s="7"/>
      <c r="H976" s="7"/>
      <c r="I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G977" s="7"/>
      <c r="H977" s="7"/>
      <c r="I977" s="7"/>
      <c r="J977" s="50"/>
      <c r="K977" s="7"/>
      <c r="L977" s="7"/>
      <c r="M977" s="7"/>
      <c r="N977" s="7"/>
      <c r="O977" s="7"/>
      <c r="P977" s="7"/>
      <c r="Q977" s="7"/>
      <c r="R977" s="7"/>
      <c r="S977" s="7"/>
      <c r="T977" s="7"/>
      <c r="U977" s="7"/>
      <c r="V977" s="7"/>
      <c r="W977" s="7"/>
      <c r="X977" s="7"/>
      <c r="Y977" s="7"/>
      <c r="Z977" s="7"/>
      <c r="AA977" s="7"/>
    </row>
    <row r="978" spans="1:27">
      <c r="A978" s="7"/>
      <c r="B978" s="7"/>
      <c r="C978" s="83"/>
      <c r="D978" s="7"/>
      <c r="E978" s="7"/>
      <c r="F978" s="7"/>
      <c r="G978" s="7"/>
      <c r="H978" s="7"/>
      <c r="I978" s="7"/>
      <c r="J978" s="50"/>
      <c r="K978" s="7"/>
      <c r="L978" s="7"/>
      <c r="M978" s="7"/>
      <c r="N978" s="7"/>
      <c r="O978" s="7"/>
      <c r="P978" s="7"/>
      <c r="Q978" s="7"/>
      <c r="R978" s="7"/>
      <c r="S978" s="7"/>
      <c r="T978" s="7"/>
      <c r="U978" s="7"/>
      <c r="V978" s="7"/>
      <c r="W978" s="7"/>
      <c r="X978" s="7"/>
      <c r="Y978" s="7"/>
      <c r="Z978" s="7"/>
      <c r="AA978" s="7"/>
    </row>
    <row r="979" spans="1:27">
      <c r="A979" s="7"/>
      <c r="B979" s="7"/>
      <c r="C979" s="83"/>
      <c r="D979" s="7"/>
      <c r="E979" s="7"/>
      <c r="F979" s="7"/>
      <c r="G979" s="7"/>
      <c r="H979" s="7"/>
      <c r="I979" s="7"/>
      <c r="J979" s="50"/>
      <c r="K979" s="7"/>
      <c r="L979" s="7"/>
      <c r="M979" s="7"/>
      <c r="N979" s="7"/>
      <c r="O979" s="7"/>
      <c r="P979" s="7"/>
      <c r="Q979" s="7"/>
      <c r="R979" s="7"/>
      <c r="S979" s="7"/>
      <c r="T979" s="7"/>
      <c r="U979" s="7"/>
      <c r="V979" s="7"/>
      <c r="W979" s="7"/>
      <c r="X979" s="7"/>
      <c r="Y979" s="7"/>
      <c r="Z979" s="7"/>
      <c r="AA979" s="7"/>
    </row>
    <row r="980" spans="1:27">
      <c r="A980" s="7"/>
      <c r="B980" s="7"/>
      <c r="C980" s="83"/>
      <c r="D980" s="7"/>
      <c r="E980" s="7"/>
      <c r="F980" s="7"/>
      <c r="G980" s="7"/>
      <c r="H980" s="7"/>
      <c r="I980" s="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8 G19:G123">
      <formula1>$K$2:$K$6</formula1>
    </dataValidation>
  </dataValidations>
  <pageMargins left="0.7" right="0.7" top="0.75" bottom="0.75" header="0" footer="0"/>
  <pageSetup orientation="landscape"/>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workbookViewId="0">
      <selection activeCell="C16" sqref="A1:XFD1048576"/>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222</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154</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ht="15" customHeight="1">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COUNTIF($F$8:$F$964,K2)</f>
        <v>3</v>
      </c>
      <c r="C6" s="41">
        <f>COUNTIF($F$8:$F$964,K3)</f>
        <v>0</v>
      </c>
      <c r="D6" s="41">
        <f>COUNTIF($F$8:$F$964,K5)</f>
        <v>0</v>
      </c>
      <c r="E6" s="41">
        <f>COUNTIF($F$8:$F$964,K4)</f>
        <v>0</v>
      </c>
      <c r="F6" s="41">
        <f>COUNTIF($F$8:$F$964,K6)</f>
        <v>0</v>
      </c>
      <c r="G6" s="117">
        <f>COUNTA(A9:A970)</f>
        <v>3</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63.75">
      <c r="A9" s="80" t="str">
        <f>IF(OR(B9&lt;&gt;"",D9&lt;&gt;""),"["&amp;TEXT($B$2,"##")&amp;"-"&amp;TEXT(ROW()-8,"##")&amp;"]","")</f>
        <v>[USR_Find-1]</v>
      </c>
      <c r="B9" s="81" t="s">
        <v>224</v>
      </c>
      <c r="C9" t="s">
        <v>223</v>
      </c>
      <c r="D9" s="52" t="s">
        <v>225</v>
      </c>
      <c r="E9" s="52" t="s">
        <v>226</v>
      </c>
      <c r="F9" s="51" t="s">
        <v>20</v>
      </c>
      <c r="G9" s="48"/>
      <c r="H9" s="7"/>
      <c r="I9" s="7"/>
      <c r="J9" s="7"/>
      <c r="K9" s="7"/>
      <c r="L9" s="7"/>
      <c r="M9" s="7"/>
      <c r="N9" s="7"/>
      <c r="O9" s="7"/>
      <c r="P9" s="7"/>
      <c r="Q9" s="7"/>
      <c r="R9" s="7"/>
      <c r="S9" s="7"/>
      <c r="T9" s="7"/>
      <c r="U9" s="7"/>
      <c r="V9" s="7"/>
      <c r="W9" s="7"/>
      <c r="X9" s="7"/>
    </row>
    <row r="10" spans="1:27" ht="76.5">
      <c r="A10" s="80" t="str">
        <f t="shared" ref="A10:A11" si="0">IF(OR(B10&lt;&gt;"",D10&lt;&gt;""),"["&amp;TEXT($B$2,"##")&amp;"-"&amp;TEXT(ROW()-8,"##")&amp;"]","")</f>
        <v>[USR_Find-2]</v>
      </c>
      <c r="B10" s="81" t="s">
        <v>229</v>
      </c>
      <c r="C10" s="124" t="s">
        <v>233</v>
      </c>
      <c r="D10" s="52" t="s">
        <v>234</v>
      </c>
      <c r="E10" s="52" t="s">
        <v>228</v>
      </c>
      <c r="F10" s="51" t="s">
        <v>20</v>
      </c>
      <c r="G10" s="48"/>
      <c r="H10" s="7"/>
      <c r="I10" s="7"/>
      <c r="J10" s="7"/>
      <c r="K10" s="7"/>
      <c r="L10" s="7"/>
      <c r="M10" s="7"/>
      <c r="N10" s="7"/>
      <c r="O10" s="7"/>
      <c r="P10" s="7"/>
      <c r="Q10" s="7"/>
      <c r="R10" s="7"/>
      <c r="S10" s="7"/>
      <c r="T10" s="7"/>
      <c r="U10" s="7"/>
      <c r="V10" s="7"/>
      <c r="W10" s="7"/>
      <c r="X10" s="7"/>
    </row>
    <row r="11" spans="1:27" ht="51">
      <c r="A11" s="80" t="str">
        <f t="shared" si="0"/>
        <v>[USR_Find-3]</v>
      </c>
      <c r="B11" s="81" t="s">
        <v>232</v>
      </c>
      <c r="C11" s="124" t="s">
        <v>233</v>
      </c>
      <c r="D11" s="52" t="s">
        <v>227</v>
      </c>
      <c r="E11" s="52" t="s">
        <v>235</v>
      </c>
      <c r="F11" s="51" t="s">
        <v>20</v>
      </c>
      <c r="G11" s="49"/>
      <c r="H11" s="34"/>
      <c r="I11" s="34"/>
      <c r="J11" s="34"/>
      <c r="K11" s="34"/>
      <c r="L11" s="34"/>
      <c r="M11" s="34"/>
      <c r="N11" s="34"/>
      <c r="O11" s="34"/>
      <c r="P11" s="34"/>
      <c r="Q11" s="34"/>
      <c r="R11" s="34"/>
      <c r="S11" s="34"/>
      <c r="T11" s="34"/>
      <c r="U11" s="34"/>
      <c r="V11" s="34"/>
      <c r="W11" s="34"/>
      <c r="X11" s="34"/>
    </row>
    <row r="12" spans="1:27">
      <c r="A12" s="7"/>
      <c r="B12" s="7"/>
      <c r="C12" s="83"/>
      <c r="D12" s="7"/>
      <c r="E12" s="7"/>
      <c r="F12" s="7"/>
      <c r="G12" s="48"/>
      <c r="H12" s="7"/>
      <c r="I12" s="7"/>
      <c r="J12" s="7"/>
      <c r="K12" s="7"/>
      <c r="L12" s="7"/>
      <c r="M12" s="7"/>
      <c r="N12" s="7"/>
      <c r="O12" s="7"/>
      <c r="P12" s="7"/>
      <c r="Q12" s="7"/>
      <c r="R12" s="7"/>
      <c r="S12" s="7"/>
      <c r="T12" s="7"/>
      <c r="U12" s="7"/>
      <c r="V12" s="7"/>
      <c r="W12" s="7"/>
      <c r="X12" s="7"/>
    </row>
    <row r="13" spans="1:27">
      <c r="A13" s="7"/>
      <c r="B13" s="7"/>
      <c r="C13" s="83"/>
      <c r="D13" s="7"/>
      <c r="E13" s="7"/>
      <c r="F13" s="7"/>
      <c r="G13" s="50"/>
      <c r="H13" s="7"/>
      <c r="I13" s="7"/>
      <c r="J13" s="7"/>
      <c r="K13" s="7"/>
      <c r="L13" s="7"/>
      <c r="M13" s="7"/>
      <c r="N13" s="7"/>
      <c r="O13" s="7"/>
      <c r="P13" s="7"/>
      <c r="Q13" s="7"/>
      <c r="R13" s="7"/>
      <c r="S13" s="7"/>
      <c r="T13" s="7"/>
      <c r="U13" s="7"/>
      <c r="V13" s="7"/>
      <c r="W13" s="7"/>
      <c r="X13" s="7"/>
    </row>
    <row r="14" spans="1:27">
      <c r="A14" s="7"/>
      <c r="B14" s="7"/>
      <c r="C14" s="83"/>
      <c r="D14" s="7"/>
      <c r="E14" s="7"/>
      <c r="F14" s="7"/>
      <c r="G14" s="49"/>
      <c r="H14" s="34"/>
      <c r="I14" s="34"/>
      <c r="J14" s="34"/>
      <c r="K14" s="34"/>
      <c r="L14" s="34"/>
      <c r="M14" s="34"/>
      <c r="N14" s="34"/>
      <c r="O14" s="34"/>
      <c r="P14" s="34"/>
      <c r="Q14" s="34"/>
      <c r="R14" s="34"/>
      <c r="S14" s="34"/>
      <c r="T14" s="34"/>
      <c r="U14" s="34"/>
      <c r="V14" s="34"/>
      <c r="W14" s="34"/>
      <c r="X14" s="34"/>
    </row>
    <row r="15" spans="1:27">
      <c r="A15" s="7"/>
      <c r="B15" s="7"/>
      <c r="C15" s="83"/>
      <c r="D15" s="7"/>
      <c r="E15" s="7"/>
      <c r="F15" s="7"/>
      <c r="G15" s="48"/>
      <c r="H15" s="7"/>
      <c r="I15" s="7"/>
      <c r="J15" s="7"/>
      <c r="K15" s="7"/>
      <c r="L15" s="7"/>
      <c r="M15" s="7"/>
      <c r="N15" s="7"/>
      <c r="O15" s="7"/>
      <c r="P15" s="7"/>
      <c r="Q15" s="7"/>
      <c r="R15" s="7"/>
      <c r="S15" s="7"/>
      <c r="T15" s="7"/>
      <c r="U15" s="7"/>
      <c r="V15" s="7"/>
      <c r="W15" s="7"/>
      <c r="X15" s="7"/>
    </row>
    <row r="16" spans="1:27">
      <c r="A16" s="7"/>
      <c r="B16" s="7"/>
      <c r="C16" s="83"/>
      <c r="D16" s="7"/>
      <c r="E16" s="7"/>
      <c r="F16" s="7"/>
      <c r="G16" s="50"/>
      <c r="H16" s="7"/>
      <c r="I16" s="7"/>
      <c r="J16" s="7"/>
      <c r="K16" s="7"/>
      <c r="L16" s="7"/>
      <c r="M16" s="7"/>
      <c r="N16" s="7"/>
      <c r="O16" s="7"/>
      <c r="P16" s="7"/>
      <c r="Q16" s="7"/>
      <c r="R16" s="7"/>
      <c r="S16" s="7"/>
      <c r="T16" s="7"/>
      <c r="U16" s="7"/>
      <c r="V16" s="7"/>
      <c r="W16" s="7"/>
      <c r="X16" s="7"/>
    </row>
    <row r="17" spans="1:27">
      <c r="A17" s="7"/>
      <c r="B17" s="7"/>
      <c r="C17" s="83"/>
      <c r="D17" s="7"/>
      <c r="E17" s="7"/>
      <c r="F17" s="7"/>
      <c r="G17" s="50"/>
      <c r="H17" s="7"/>
      <c r="I17" s="7"/>
      <c r="J17" s="7"/>
      <c r="K17" s="7"/>
      <c r="L17" s="7"/>
      <c r="M17" s="7"/>
      <c r="N17" s="7"/>
      <c r="O17" s="7"/>
      <c r="P17" s="7"/>
      <c r="Q17" s="7"/>
      <c r="R17" s="7"/>
      <c r="S17" s="7"/>
      <c r="T17" s="7"/>
      <c r="U17" s="7"/>
      <c r="V17" s="7"/>
      <c r="W17" s="7"/>
      <c r="X17" s="7"/>
    </row>
    <row r="18" spans="1:27">
      <c r="A18" s="7"/>
      <c r="B18" s="7"/>
      <c r="C18" s="83"/>
      <c r="D18" s="7"/>
      <c r="E18" s="7"/>
      <c r="F18" s="7"/>
      <c r="G18" s="50"/>
      <c r="H18" s="7"/>
      <c r="I18" s="7"/>
      <c r="J18" s="7"/>
      <c r="K18" s="7"/>
      <c r="L18" s="7"/>
      <c r="M18" s="7"/>
      <c r="N18" s="7"/>
      <c r="O18" s="7"/>
      <c r="P18" s="7"/>
      <c r="Q18" s="7"/>
      <c r="R18" s="7"/>
      <c r="S18" s="7"/>
      <c r="T18" s="7"/>
      <c r="U18" s="7"/>
      <c r="V18" s="7"/>
      <c r="W18" s="7"/>
      <c r="X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G974" s="7"/>
      <c r="H974" s="7"/>
      <c r="I974" s="7"/>
      <c r="J974" s="50"/>
      <c r="K974" s="7"/>
      <c r="L974" s="7"/>
      <c r="M974" s="7"/>
      <c r="N974" s="7"/>
      <c r="O974" s="7"/>
      <c r="P974" s="7"/>
      <c r="Q974" s="7"/>
      <c r="R974" s="7"/>
      <c r="S974" s="7"/>
      <c r="T974" s="7"/>
      <c r="U974" s="7"/>
      <c r="V974" s="7"/>
      <c r="W974" s="7"/>
      <c r="X974" s="7"/>
      <c r="Y974" s="7"/>
      <c r="Z974" s="7"/>
      <c r="AA974" s="7"/>
    </row>
    <row r="975" spans="1:27">
      <c r="G975" s="7"/>
      <c r="H975" s="7"/>
      <c r="I975" s="7"/>
      <c r="J975" s="50"/>
      <c r="K975" s="7"/>
      <c r="L975" s="7"/>
      <c r="M975" s="7"/>
      <c r="N975" s="7"/>
      <c r="O975" s="7"/>
      <c r="P975" s="7"/>
      <c r="Q975" s="7"/>
      <c r="R975" s="7"/>
      <c r="S975" s="7"/>
      <c r="T975" s="7"/>
      <c r="U975" s="7"/>
      <c r="V975" s="7"/>
      <c r="W975" s="7"/>
      <c r="X975" s="7"/>
      <c r="Y975" s="7"/>
      <c r="Z975" s="7"/>
      <c r="AA975" s="7"/>
    </row>
    <row r="976" spans="1:27">
      <c r="G976" s="7"/>
      <c r="H976" s="7"/>
      <c r="I976" s="7"/>
      <c r="J976" s="50"/>
      <c r="K976" s="7"/>
      <c r="L976" s="7"/>
      <c r="M976" s="7"/>
      <c r="N976" s="7"/>
      <c r="O976" s="7"/>
      <c r="P976" s="7"/>
      <c r="Q976" s="7"/>
      <c r="R976" s="7"/>
      <c r="S976" s="7"/>
      <c r="T976" s="7"/>
      <c r="U976" s="7"/>
      <c r="V976" s="7"/>
      <c r="W976" s="7"/>
      <c r="X976" s="7"/>
      <c r="Y976" s="7"/>
      <c r="Z976" s="7"/>
      <c r="AA976" s="7"/>
    </row>
    <row r="977" spans="7:27">
      <c r="G977" s="7"/>
      <c r="H977" s="7"/>
      <c r="I977" s="7"/>
      <c r="J977" s="50"/>
      <c r="K977" s="7"/>
      <c r="L977" s="7"/>
      <c r="M977" s="7"/>
      <c r="N977" s="7"/>
      <c r="O977" s="7"/>
      <c r="P977" s="7"/>
      <c r="Q977" s="7"/>
      <c r="R977" s="7"/>
      <c r="S977" s="7"/>
      <c r="T977" s="7"/>
      <c r="U977" s="7"/>
      <c r="V977" s="7"/>
      <c r="W977" s="7"/>
      <c r="X977" s="7"/>
      <c r="Y977" s="7"/>
      <c r="Z977" s="7"/>
      <c r="AA977" s="7"/>
    </row>
    <row r="978" spans="7:27">
      <c r="G978" s="7"/>
      <c r="H978" s="7"/>
      <c r="I978" s="7"/>
      <c r="J978" s="50"/>
      <c r="K978" s="7"/>
      <c r="L978" s="7"/>
      <c r="M978" s="7"/>
      <c r="N978" s="7"/>
      <c r="O978" s="7"/>
      <c r="P978" s="7"/>
      <c r="Q978" s="7"/>
      <c r="R978" s="7"/>
      <c r="S978" s="7"/>
      <c r="T978" s="7"/>
      <c r="U978" s="7"/>
      <c r="V978" s="7"/>
      <c r="W978" s="7"/>
      <c r="X978" s="7"/>
      <c r="Y978" s="7"/>
      <c r="Z978" s="7"/>
      <c r="AA978" s="7"/>
    </row>
    <row r="979" spans="7:27">
      <c r="G979" s="7"/>
      <c r="H979" s="7"/>
      <c r="I979" s="7"/>
      <c r="J979" s="50"/>
      <c r="K979" s="7"/>
      <c r="L979" s="7"/>
      <c r="M979" s="7"/>
      <c r="N979" s="7"/>
      <c r="O979" s="7"/>
      <c r="P979" s="7"/>
      <c r="Q979" s="7"/>
      <c r="R979" s="7"/>
      <c r="S979" s="7"/>
      <c r="T979" s="7"/>
      <c r="U979" s="7"/>
      <c r="V979" s="7"/>
      <c r="W979" s="7"/>
      <c r="X979" s="7"/>
      <c r="Y979" s="7"/>
      <c r="Z979" s="7"/>
      <c r="AA979" s="7"/>
    </row>
    <row r="980" spans="7:27">
      <c r="G980" s="7"/>
      <c r="H980" s="7"/>
      <c r="I980" s="7"/>
      <c r="J980" s="50"/>
      <c r="K980" s="7"/>
      <c r="L980" s="7"/>
      <c r="M980" s="7"/>
      <c r="N980" s="7"/>
      <c r="O980" s="7"/>
      <c r="P980" s="7"/>
      <c r="Q980" s="7"/>
      <c r="R980" s="7"/>
      <c r="S980" s="7"/>
      <c r="T980" s="7"/>
      <c r="U980" s="7"/>
      <c r="V980" s="7"/>
      <c r="W980" s="7"/>
      <c r="X980" s="7"/>
      <c r="Y980" s="7"/>
      <c r="Z980" s="7"/>
      <c r="AA980" s="7"/>
    </row>
    <row r="981" spans="7:27">
      <c r="J981" s="50"/>
      <c r="K981" s="7"/>
      <c r="L981" s="7"/>
      <c r="M981" s="7"/>
      <c r="N981" s="7"/>
      <c r="O981" s="7"/>
      <c r="P981" s="7"/>
      <c r="Q981" s="7"/>
      <c r="R981" s="7"/>
      <c r="S981" s="7"/>
      <c r="T981" s="7"/>
      <c r="U981" s="7"/>
      <c r="V981" s="7"/>
      <c r="W981" s="7"/>
      <c r="X981" s="7"/>
      <c r="Y981" s="7"/>
      <c r="Z981" s="7"/>
      <c r="AA981" s="7"/>
    </row>
    <row r="982" spans="7:27">
      <c r="J982" s="50"/>
      <c r="K982" s="7"/>
      <c r="L982" s="7"/>
      <c r="M982" s="7"/>
      <c r="N982" s="7"/>
      <c r="O982" s="7"/>
      <c r="P982" s="7"/>
      <c r="Q982" s="7"/>
      <c r="R982" s="7"/>
      <c r="S982" s="7"/>
      <c r="T982" s="7"/>
      <c r="U982" s="7"/>
      <c r="V982" s="7"/>
      <c r="W982" s="7"/>
      <c r="X982" s="7"/>
      <c r="Y982" s="7"/>
      <c r="Z982" s="7"/>
      <c r="AA982" s="7"/>
    </row>
    <row r="983" spans="7:27">
      <c r="J983" s="50"/>
      <c r="K983" s="7"/>
      <c r="L983" s="7"/>
      <c r="M983" s="7"/>
      <c r="N983" s="7"/>
      <c r="O983" s="7"/>
      <c r="P983" s="7"/>
      <c r="Q983" s="7"/>
      <c r="R983" s="7"/>
      <c r="S983" s="7"/>
      <c r="T983" s="7"/>
      <c r="U983" s="7"/>
      <c r="V983" s="7"/>
      <c r="W983" s="7"/>
      <c r="X983" s="7"/>
      <c r="Y983" s="7"/>
      <c r="Z983" s="7"/>
      <c r="AA983" s="7"/>
    </row>
    <row r="984" spans="7:27">
      <c r="J984" s="50"/>
      <c r="K984" s="7"/>
      <c r="L984" s="7"/>
      <c r="M984" s="7"/>
      <c r="N984" s="7"/>
      <c r="O984" s="7"/>
      <c r="P984" s="7"/>
      <c r="Q984" s="7"/>
      <c r="R984" s="7"/>
      <c r="S984" s="7"/>
      <c r="T984" s="7"/>
      <c r="U984" s="7"/>
      <c r="V984" s="7"/>
      <c r="W984" s="7"/>
      <c r="X984" s="7"/>
      <c r="Y984" s="7"/>
      <c r="Z984" s="7"/>
      <c r="AA984" s="7"/>
    </row>
    <row r="985" spans="7:27">
      <c r="J985" s="50"/>
      <c r="K985" s="7"/>
      <c r="L985" s="7"/>
      <c r="M985" s="7"/>
      <c r="N985" s="7"/>
      <c r="O985" s="7"/>
      <c r="P985" s="7"/>
      <c r="Q985" s="7"/>
      <c r="R985" s="7"/>
      <c r="S985" s="7"/>
      <c r="T985" s="7"/>
      <c r="U985" s="7"/>
      <c r="V985" s="7"/>
      <c r="W985" s="7"/>
      <c r="X985" s="7"/>
      <c r="Y985" s="7"/>
      <c r="Z985" s="7"/>
      <c r="AA985" s="7"/>
    </row>
    <row r="986" spans="7:27">
      <c r="J986" s="50"/>
      <c r="K986" s="7"/>
      <c r="L986" s="7"/>
      <c r="M986" s="7"/>
      <c r="N986" s="7"/>
      <c r="O986" s="7"/>
      <c r="P986" s="7"/>
      <c r="Q986" s="7"/>
      <c r="R986" s="7"/>
      <c r="S986" s="7"/>
      <c r="T986" s="7"/>
      <c r="U986" s="7"/>
      <c r="V986" s="7"/>
      <c r="W986" s="7"/>
      <c r="X986" s="7"/>
      <c r="Y986" s="7"/>
      <c r="Z986" s="7"/>
      <c r="AA986" s="7"/>
    </row>
    <row r="987" spans="7:27">
      <c r="J987" s="50"/>
      <c r="K987" s="7"/>
      <c r="L987" s="7"/>
      <c r="M987" s="7"/>
      <c r="N987" s="7"/>
      <c r="O987" s="7"/>
      <c r="P987" s="7"/>
      <c r="Q987" s="7"/>
      <c r="R987" s="7"/>
      <c r="S987" s="7"/>
      <c r="T987" s="7"/>
      <c r="U987" s="7"/>
      <c r="V987" s="7"/>
      <c r="W987" s="7"/>
      <c r="X987" s="7"/>
      <c r="Y987" s="7"/>
      <c r="Z987" s="7"/>
      <c r="AA987" s="7"/>
    </row>
    <row r="988" spans="7:27">
      <c r="J988" s="50"/>
      <c r="K988" s="7"/>
      <c r="L988" s="7"/>
      <c r="M988" s="7"/>
      <c r="N988" s="7"/>
      <c r="O988" s="7"/>
      <c r="P988" s="7"/>
      <c r="Q988" s="7"/>
      <c r="R988" s="7"/>
      <c r="S988" s="7"/>
      <c r="T988" s="7"/>
      <c r="U988" s="7"/>
      <c r="V988" s="7"/>
      <c r="W988" s="7"/>
      <c r="X988" s="7"/>
      <c r="Y988" s="7"/>
      <c r="Z988" s="7"/>
      <c r="AA988" s="7"/>
    </row>
    <row r="989" spans="7:27">
      <c r="J989" s="50"/>
      <c r="K989" s="7"/>
      <c r="L989" s="7"/>
      <c r="M989" s="7"/>
      <c r="N989" s="7"/>
      <c r="O989" s="7"/>
      <c r="P989" s="7"/>
      <c r="Q989" s="7"/>
      <c r="R989" s="7"/>
      <c r="S989" s="7"/>
      <c r="T989" s="7"/>
      <c r="U989" s="7"/>
      <c r="V989" s="7"/>
      <c r="W989" s="7"/>
      <c r="X989" s="7"/>
      <c r="Y989" s="7"/>
      <c r="Z989" s="7"/>
      <c r="AA989" s="7"/>
    </row>
    <row r="990" spans="7:27">
      <c r="J990" s="50"/>
      <c r="K990" s="7"/>
      <c r="L990" s="7"/>
      <c r="M990" s="7"/>
      <c r="N990" s="7"/>
      <c r="O990" s="7"/>
      <c r="P990" s="7"/>
      <c r="Q990" s="7"/>
      <c r="R990" s="7"/>
      <c r="S990" s="7"/>
      <c r="T990" s="7"/>
      <c r="U990" s="7"/>
      <c r="V990" s="7"/>
      <c r="W990" s="7"/>
      <c r="X990" s="7"/>
      <c r="Y990" s="7"/>
      <c r="Z990" s="7"/>
      <c r="AA990" s="7"/>
    </row>
    <row r="991" spans="7:27">
      <c r="J991" s="50"/>
      <c r="K991" s="7"/>
      <c r="L991" s="7"/>
      <c r="M991" s="7"/>
      <c r="N991" s="7"/>
      <c r="O991" s="7"/>
      <c r="P991" s="7"/>
      <c r="Q991" s="7"/>
      <c r="R991" s="7"/>
      <c r="S991" s="7"/>
      <c r="T991" s="7"/>
      <c r="U991" s="7"/>
      <c r="V991" s="7"/>
      <c r="W991" s="7"/>
      <c r="X991" s="7"/>
      <c r="Y991" s="7"/>
      <c r="Z991" s="7"/>
      <c r="AA991" s="7"/>
    </row>
    <row r="992" spans="7: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1 G19:G123">
      <formula1>$K$2:$K$6</formula1>
    </dataValidation>
  </dataValidations>
  <pageMargins left="0.7" right="0.7" top="0.75" bottom="0.75" header="0.3" footer="0.3"/>
  <legacyDrawing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workbookViewId="0">
      <selection activeCell="E14" sqref="E14"/>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236</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154</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ht="15" customHeight="1">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COUNTIF($F$8:$F$964,K2)</f>
        <v>2</v>
      </c>
      <c r="C6" s="41">
        <f>COUNTIF($F$8:$F$964,K3)</f>
        <v>1</v>
      </c>
      <c r="D6" s="41">
        <f>COUNTIF($F$8:$F$964,K5)</f>
        <v>0</v>
      </c>
      <c r="E6" s="41">
        <f>COUNTIF($F$8:$F$964,K4)</f>
        <v>0</v>
      </c>
      <c r="F6" s="41">
        <f>COUNTIF($F$8:$F$964,K6)</f>
        <v>0</v>
      </c>
      <c r="G6" s="117">
        <f>COUNTA(A9:A970)</f>
        <v>3</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51">
      <c r="A9" s="80" t="str">
        <f>IF(OR(B9&lt;&gt;"",D9&lt;&gt;""),"["&amp;TEXT($B$2,"##")&amp;"-"&amp;TEXT(ROW()-8,"##")&amp;"]","")</f>
        <v>[USR_Voucher-1]</v>
      </c>
      <c r="B9" s="81" t="s">
        <v>237</v>
      </c>
      <c r="C9" t="s">
        <v>223</v>
      </c>
      <c r="D9" s="52" t="s">
        <v>238</v>
      </c>
      <c r="E9" s="52" t="s">
        <v>239</v>
      </c>
      <c r="F9" s="51" t="s">
        <v>20</v>
      </c>
      <c r="G9" s="48"/>
      <c r="H9" s="7"/>
      <c r="I9" s="7"/>
      <c r="J9" s="7"/>
      <c r="K9" s="7"/>
      <c r="L9" s="7"/>
      <c r="M9" s="7"/>
      <c r="N9" s="7"/>
      <c r="O9" s="7"/>
      <c r="P9" s="7"/>
      <c r="Q9" s="7"/>
      <c r="R9" s="7"/>
      <c r="S9" s="7"/>
      <c r="T9" s="7"/>
      <c r="U9" s="7"/>
      <c r="V9" s="7"/>
      <c r="W9" s="7"/>
      <c r="X9" s="7"/>
    </row>
    <row r="10" spans="1:27" ht="89.25">
      <c r="A10" s="80" t="str">
        <f t="shared" ref="A10:A11" si="0">IF(OR(B10&lt;&gt;"",D10&lt;&gt;""),"["&amp;TEXT($B$2,"##")&amp;"-"&amp;TEXT(ROW()-8,"##")&amp;"]","")</f>
        <v>[USR_Voucher-2]</v>
      </c>
      <c r="B10" s="81" t="s">
        <v>240</v>
      </c>
      <c r="C10" s="124" t="s">
        <v>233</v>
      </c>
      <c r="D10" s="52" t="s">
        <v>241</v>
      </c>
      <c r="E10" s="52" t="s">
        <v>242</v>
      </c>
      <c r="F10" s="51" t="s">
        <v>20</v>
      </c>
      <c r="G10" s="48"/>
      <c r="H10" s="7"/>
      <c r="I10" s="7"/>
      <c r="J10" s="7"/>
      <c r="K10" s="7"/>
      <c r="L10" s="7"/>
      <c r="M10" s="7"/>
      <c r="N10" s="7"/>
      <c r="O10" s="7"/>
      <c r="P10" s="7"/>
      <c r="Q10" s="7"/>
      <c r="R10" s="7"/>
      <c r="S10" s="7"/>
      <c r="T10" s="7"/>
      <c r="U10" s="7"/>
      <c r="V10" s="7"/>
      <c r="W10" s="7"/>
      <c r="X10" s="7"/>
    </row>
    <row r="11" spans="1:27" ht="89.25">
      <c r="A11" s="80" t="str">
        <f t="shared" si="0"/>
        <v>[USR_Voucher-3]</v>
      </c>
      <c r="B11" s="81" t="s">
        <v>243</v>
      </c>
      <c r="C11" s="124" t="s">
        <v>233</v>
      </c>
      <c r="D11" s="52" t="s">
        <v>241</v>
      </c>
      <c r="E11" s="52" t="s">
        <v>244</v>
      </c>
      <c r="F11" s="51" t="s">
        <v>22</v>
      </c>
      <c r="G11" s="49"/>
      <c r="H11" s="34"/>
      <c r="I11" s="34"/>
      <c r="J11" s="34"/>
      <c r="K11" s="34"/>
      <c r="L11" s="34"/>
      <c r="M11" s="34"/>
      <c r="N11" s="34"/>
      <c r="O11" s="34"/>
      <c r="P11" s="34"/>
      <c r="Q11" s="34"/>
      <c r="R11" s="34"/>
      <c r="S11" s="34"/>
      <c r="T11" s="34"/>
      <c r="U11" s="34"/>
      <c r="V11" s="34"/>
      <c r="W11" s="34"/>
      <c r="X11" s="34"/>
    </row>
    <row r="12" spans="1:27">
      <c r="A12" s="7"/>
      <c r="B12" s="7"/>
      <c r="C12" s="83"/>
      <c r="D12" s="7"/>
      <c r="E12" s="7"/>
      <c r="F12" s="7"/>
      <c r="G12" s="48"/>
      <c r="H12" s="7"/>
      <c r="I12" s="7"/>
      <c r="J12" s="7"/>
      <c r="K12" s="7"/>
      <c r="L12" s="7"/>
      <c r="M12" s="7"/>
      <c r="N12" s="7"/>
      <c r="O12" s="7"/>
      <c r="P12" s="7"/>
      <c r="Q12" s="7"/>
      <c r="R12" s="7"/>
      <c r="S12" s="7"/>
      <c r="T12" s="7"/>
      <c r="U12" s="7"/>
      <c r="V12" s="7"/>
      <c r="W12" s="7"/>
      <c r="X12" s="7"/>
    </row>
    <row r="13" spans="1:27">
      <c r="A13" s="7"/>
      <c r="B13" s="7"/>
      <c r="C13" s="83"/>
      <c r="D13" s="7"/>
      <c r="E13" s="7"/>
      <c r="F13" s="7"/>
      <c r="G13" s="50"/>
      <c r="H13" s="7"/>
      <c r="I13" s="7"/>
      <c r="J13" s="7"/>
      <c r="K13" s="7"/>
      <c r="L13" s="7"/>
      <c r="M13" s="7"/>
      <c r="N13" s="7"/>
      <c r="O13" s="7"/>
      <c r="P13" s="7"/>
      <c r="Q13" s="7"/>
      <c r="R13" s="7"/>
      <c r="S13" s="7"/>
      <c r="T13" s="7"/>
      <c r="U13" s="7"/>
      <c r="V13" s="7"/>
      <c r="W13" s="7"/>
      <c r="X13" s="7"/>
    </row>
    <row r="14" spans="1:27">
      <c r="A14" s="7"/>
      <c r="B14" s="7"/>
      <c r="C14" s="83"/>
      <c r="D14" s="7"/>
      <c r="E14" s="7"/>
      <c r="F14" s="7"/>
      <c r="G14" s="49"/>
      <c r="H14" s="34"/>
      <c r="I14" s="34"/>
      <c r="J14" s="34"/>
      <c r="K14" s="34"/>
      <c r="L14" s="34"/>
      <c r="M14" s="34"/>
      <c r="N14" s="34"/>
      <c r="O14" s="34"/>
      <c r="P14" s="34"/>
      <c r="Q14" s="34"/>
      <c r="R14" s="34"/>
      <c r="S14" s="34"/>
      <c r="T14" s="34"/>
      <c r="U14" s="34"/>
      <c r="V14" s="34"/>
      <c r="W14" s="34"/>
      <c r="X14" s="34"/>
    </row>
    <row r="15" spans="1:27">
      <c r="A15" s="7"/>
      <c r="B15" s="7"/>
      <c r="C15" s="83"/>
      <c r="D15" s="7"/>
      <c r="E15" s="7"/>
      <c r="F15" s="7"/>
      <c r="G15" s="48"/>
      <c r="H15" s="7"/>
      <c r="I15" s="7"/>
      <c r="J15" s="7"/>
      <c r="K15" s="7"/>
      <c r="L15" s="7"/>
      <c r="M15" s="7"/>
      <c r="N15" s="7"/>
      <c r="O15" s="7"/>
      <c r="P15" s="7"/>
      <c r="Q15" s="7"/>
      <c r="R15" s="7"/>
      <c r="S15" s="7"/>
      <c r="T15" s="7"/>
      <c r="U15" s="7"/>
      <c r="V15" s="7"/>
      <c r="W15" s="7"/>
      <c r="X15" s="7"/>
    </row>
    <row r="16" spans="1:27">
      <c r="A16" s="7"/>
      <c r="B16" s="7"/>
      <c r="C16" s="83"/>
      <c r="D16" s="7"/>
      <c r="E16" s="7"/>
      <c r="F16" s="7"/>
      <c r="G16" s="50"/>
      <c r="H16" s="7"/>
      <c r="I16" s="7"/>
      <c r="J16" s="7"/>
      <c r="K16" s="7"/>
      <c r="L16" s="7"/>
      <c r="M16" s="7"/>
      <c r="N16" s="7"/>
      <c r="O16" s="7"/>
      <c r="P16" s="7"/>
      <c r="Q16" s="7"/>
      <c r="R16" s="7"/>
      <c r="S16" s="7"/>
      <c r="T16" s="7"/>
      <c r="U16" s="7"/>
      <c r="V16" s="7"/>
      <c r="W16" s="7"/>
      <c r="X16" s="7"/>
    </row>
    <row r="17" spans="1:27">
      <c r="A17" s="7"/>
      <c r="B17" s="7"/>
      <c r="C17" s="83"/>
      <c r="D17" s="7"/>
      <c r="E17" s="7"/>
      <c r="F17" s="7"/>
      <c r="G17" s="50"/>
      <c r="H17" s="7"/>
      <c r="I17" s="7"/>
      <c r="J17" s="7"/>
      <c r="K17" s="7"/>
      <c r="L17" s="7"/>
      <c r="M17" s="7"/>
      <c r="N17" s="7"/>
      <c r="O17" s="7"/>
      <c r="P17" s="7"/>
      <c r="Q17" s="7"/>
      <c r="R17" s="7"/>
      <c r="S17" s="7"/>
      <c r="T17" s="7"/>
      <c r="U17" s="7"/>
      <c r="V17" s="7"/>
      <c r="W17" s="7"/>
      <c r="X17" s="7"/>
    </row>
    <row r="18" spans="1:27">
      <c r="A18" s="7"/>
      <c r="B18" s="7"/>
      <c r="C18" s="83"/>
      <c r="D18" s="7"/>
      <c r="E18" s="7"/>
      <c r="F18" s="7"/>
      <c r="G18" s="50"/>
      <c r="H18" s="7"/>
      <c r="I18" s="7"/>
      <c r="J18" s="7"/>
      <c r="K18" s="7"/>
      <c r="L18" s="7"/>
      <c r="M18" s="7"/>
      <c r="N18" s="7"/>
      <c r="O18" s="7"/>
      <c r="P18" s="7"/>
      <c r="Q18" s="7"/>
      <c r="R18" s="7"/>
      <c r="S18" s="7"/>
      <c r="T18" s="7"/>
      <c r="U18" s="7"/>
      <c r="V18" s="7"/>
      <c r="W18" s="7"/>
      <c r="X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G974" s="7"/>
      <c r="H974" s="7"/>
      <c r="I974" s="7"/>
      <c r="J974" s="50"/>
      <c r="K974" s="7"/>
      <c r="L974" s="7"/>
      <c r="M974" s="7"/>
      <c r="N974" s="7"/>
      <c r="O974" s="7"/>
      <c r="P974" s="7"/>
      <c r="Q974" s="7"/>
      <c r="R974" s="7"/>
      <c r="S974" s="7"/>
      <c r="T974" s="7"/>
      <c r="U974" s="7"/>
      <c r="V974" s="7"/>
      <c r="W974" s="7"/>
      <c r="X974" s="7"/>
      <c r="Y974" s="7"/>
      <c r="Z974" s="7"/>
      <c r="AA974" s="7"/>
    </row>
    <row r="975" spans="1:27">
      <c r="G975" s="7"/>
      <c r="H975" s="7"/>
      <c r="I975" s="7"/>
      <c r="J975" s="50"/>
      <c r="K975" s="7"/>
      <c r="L975" s="7"/>
      <c r="M975" s="7"/>
      <c r="N975" s="7"/>
      <c r="O975" s="7"/>
      <c r="P975" s="7"/>
      <c r="Q975" s="7"/>
      <c r="R975" s="7"/>
      <c r="S975" s="7"/>
      <c r="T975" s="7"/>
      <c r="U975" s="7"/>
      <c r="V975" s="7"/>
      <c r="W975" s="7"/>
      <c r="X975" s="7"/>
      <c r="Y975" s="7"/>
      <c r="Z975" s="7"/>
      <c r="AA975" s="7"/>
    </row>
    <row r="976" spans="1:27">
      <c r="G976" s="7"/>
      <c r="H976" s="7"/>
      <c r="I976" s="7"/>
      <c r="J976" s="50"/>
      <c r="K976" s="7"/>
      <c r="L976" s="7"/>
      <c r="M976" s="7"/>
      <c r="N976" s="7"/>
      <c r="O976" s="7"/>
      <c r="P976" s="7"/>
      <c r="Q976" s="7"/>
      <c r="R976" s="7"/>
      <c r="S976" s="7"/>
      <c r="T976" s="7"/>
      <c r="U976" s="7"/>
      <c r="V976" s="7"/>
      <c r="W976" s="7"/>
      <c r="X976" s="7"/>
      <c r="Y976" s="7"/>
      <c r="Z976" s="7"/>
      <c r="AA976" s="7"/>
    </row>
    <row r="977" spans="7:27">
      <c r="G977" s="7"/>
      <c r="H977" s="7"/>
      <c r="I977" s="7"/>
      <c r="J977" s="50"/>
      <c r="K977" s="7"/>
      <c r="L977" s="7"/>
      <c r="M977" s="7"/>
      <c r="N977" s="7"/>
      <c r="O977" s="7"/>
      <c r="P977" s="7"/>
      <c r="Q977" s="7"/>
      <c r="R977" s="7"/>
      <c r="S977" s="7"/>
      <c r="T977" s="7"/>
      <c r="U977" s="7"/>
      <c r="V977" s="7"/>
      <c r="W977" s="7"/>
      <c r="X977" s="7"/>
      <c r="Y977" s="7"/>
      <c r="Z977" s="7"/>
      <c r="AA977" s="7"/>
    </row>
    <row r="978" spans="7:27">
      <c r="G978" s="7"/>
      <c r="H978" s="7"/>
      <c r="I978" s="7"/>
      <c r="J978" s="50"/>
      <c r="K978" s="7"/>
      <c r="L978" s="7"/>
      <c r="M978" s="7"/>
      <c r="N978" s="7"/>
      <c r="O978" s="7"/>
      <c r="P978" s="7"/>
      <c r="Q978" s="7"/>
      <c r="R978" s="7"/>
      <c r="S978" s="7"/>
      <c r="T978" s="7"/>
      <c r="U978" s="7"/>
      <c r="V978" s="7"/>
      <c r="W978" s="7"/>
      <c r="X978" s="7"/>
      <c r="Y978" s="7"/>
      <c r="Z978" s="7"/>
      <c r="AA978" s="7"/>
    </row>
    <row r="979" spans="7:27">
      <c r="G979" s="7"/>
      <c r="H979" s="7"/>
      <c r="I979" s="7"/>
      <c r="J979" s="50"/>
      <c r="K979" s="7"/>
      <c r="L979" s="7"/>
      <c r="M979" s="7"/>
      <c r="N979" s="7"/>
      <c r="O979" s="7"/>
      <c r="P979" s="7"/>
      <c r="Q979" s="7"/>
      <c r="R979" s="7"/>
      <c r="S979" s="7"/>
      <c r="T979" s="7"/>
      <c r="U979" s="7"/>
      <c r="V979" s="7"/>
      <c r="W979" s="7"/>
      <c r="X979" s="7"/>
      <c r="Y979" s="7"/>
      <c r="Z979" s="7"/>
      <c r="AA979" s="7"/>
    </row>
    <row r="980" spans="7:27">
      <c r="G980" s="7"/>
      <c r="H980" s="7"/>
      <c r="I980" s="7"/>
      <c r="J980" s="50"/>
      <c r="K980" s="7"/>
      <c r="L980" s="7"/>
      <c r="M980" s="7"/>
      <c r="N980" s="7"/>
      <c r="O980" s="7"/>
      <c r="P980" s="7"/>
      <c r="Q980" s="7"/>
      <c r="R980" s="7"/>
      <c r="S980" s="7"/>
      <c r="T980" s="7"/>
      <c r="U980" s="7"/>
      <c r="V980" s="7"/>
      <c r="W980" s="7"/>
      <c r="X980" s="7"/>
      <c r="Y980" s="7"/>
      <c r="Z980" s="7"/>
      <c r="AA980" s="7"/>
    </row>
    <row r="981" spans="7:27">
      <c r="J981" s="50"/>
      <c r="K981" s="7"/>
      <c r="L981" s="7"/>
      <c r="M981" s="7"/>
      <c r="N981" s="7"/>
      <c r="O981" s="7"/>
      <c r="P981" s="7"/>
      <c r="Q981" s="7"/>
      <c r="R981" s="7"/>
      <c r="S981" s="7"/>
      <c r="T981" s="7"/>
      <c r="U981" s="7"/>
      <c r="V981" s="7"/>
      <c r="W981" s="7"/>
      <c r="X981" s="7"/>
      <c r="Y981" s="7"/>
      <c r="Z981" s="7"/>
      <c r="AA981" s="7"/>
    </row>
    <row r="982" spans="7:27">
      <c r="J982" s="50"/>
      <c r="K982" s="7"/>
      <c r="L982" s="7"/>
      <c r="M982" s="7"/>
      <c r="N982" s="7"/>
      <c r="O982" s="7"/>
      <c r="P982" s="7"/>
      <c r="Q982" s="7"/>
      <c r="R982" s="7"/>
      <c r="S982" s="7"/>
      <c r="T982" s="7"/>
      <c r="U982" s="7"/>
      <c r="V982" s="7"/>
      <c r="W982" s="7"/>
      <c r="X982" s="7"/>
      <c r="Y982" s="7"/>
      <c r="Z982" s="7"/>
      <c r="AA982" s="7"/>
    </row>
    <row r="983" spans="7:27">
      <c r="J983" s="50"/>
      <c r="K983" s="7"/>
      <c r="L983" s="7"/>
      <c r="M983" s="7"/>
      <c r="N983" s="7"/>
      <c r="O983" s="7"/>
      <c r="P983" s="7"/>
      <c r="Q983" s="7"/>
      <c r="R983" s="7"/>
      <c r="S983" s="7"/>
      <c r="T983" s="7"/>
      <c r="U983" s="7"/>
      <c r="V983" s="7"/>
      <c r="W983" s="7"/>
      <c r="X983" s="7"/>
      <c r="Y983" s="7"/>
      <c r="Z983" s="7"/>
      <c r="AA983" s="7"/>
    </row>
    <row r="984" spans="7:27">
      <c r="J984" s="50"/>
      <c r="K984" s="7"/>
      <c r="L984" s="7"/>
      <c r="M984" s="7"/>
      <c r="N984" s="7"/>
      <c r="O984" s="7"/>
      <c r="P984" s="7"/>
      <c r="Q984" s="7"/>
      <c r="R984" s="7"/>
      <c r="S984" s="7"/>
      <c r="T984" s="7"/>
      <c r="U984" s="7"/>
      <c r="V984" s="7"/>
      <c r="W984" s="7"/>
      <c r="X984" s="7"/>
      <c r="Y984" s="7"/>
      <c r="Z984" s="7"/>
      <c r="AA984" s="7"/>
    </row>
    <row r="985" spans="7:27">
      <c r="J985" s="50"/>
      <c r="K985" s="7"/>
      <c r="L985" s="7"/>
      <c r="M985" s="7"/>
      <c r="N985" s="7"/>
      <c r="O985" s="7"/>
      <c r="P985" s="7"/>
      <c r="Q985" s="7"/>
      <c r="R985" s="7"/>
      <c r="S985" s="7"/>
      <c r="T985" s="7"/>
      <c r="U985" s="7"/>
      <c r="V985" s="7"/>
      <c r="W985" s="7"/>
      <c r="X985" s="7"/>
      <c r="Y985" s="7"/>
      <c r="Z985" s="7"/>
      <c r="AA985" s="7"/>
    </row>
    <row r="986" spans="7:27">
      <c r="J986" s="50"/>
      <c r="K986" s="7"/>
      <c r="L986" s="7"/>
      <c r="M986" s="7"/>
      <c r="N986" s="7"/>
      <c r="O986" s="7"/>
      <c r="P986" s="7"/>
      <c r="Q986" s="7"/>
      <c r="R986" s="7"/>
      <c r="S986" s="7"/>
      <c r="T986" s="7"/>
      <c r="U986" s="7"/>
      <c r="V986" s="7"/>
      <c r="W986" s="7"/>
      <c r="X986" s="7"/>
      <c r="Y986" s="7"/>
      <c r="Z986" s="7"/>
      <c r="AA986" s="7"/>
    </row>
    <row r="987" spans="7:27">
      <c r="J987" s="50"/>
      <c r="K987" s="7"/>
      <c r="L987" s="7"/>
      <c r="M987" s="7"/>
      <c r="N987" s="7"/>
      <c r="O987" s="7"/>
      <c r="P987" s="7"/>
      <c r="Q987" s="7"/>
      <c r="R987" s="7"/>
      <c r="S987" s="7"/>
      <c r="T987" s="7"/>
      <c r="U987" s="7"/>
      <c r="V987" s="7"/>
      <c r="W987" s="7"/>
      <c r="X987" s="7"/>
      <c r="Y987" s="7"/>
      <c r="Z987" s="7"/>
      <c r="AA987" s="7"/>
    </row>
    <row r="988" spans="7:27">
      <c r="J988" s="50"/>
      <c r="K988" s="7"/>
      <c r="L988" s="7"/>
      <c r="M988" s="7"/>
      <c r="N988" s="7"/>
      <c r="O988" s="7"/>
      <c r="P988" s="7"/>
      <c r="Q988" s="7"/>
      <c r="R988" s="7"/>
      <c r="S988" s="7"/>
      <c r="T988" s="7"/>
      <c r="U988" s="7"/>
      <c r="V988" s="7"/>
      <c r="W988" s="7"/>
      <c r="X988" s="7"/>
      <c r="Y988" s="7"/>
      <c r="Z988" s="7"/>
      <c r="AA988" s="7"/>
    </row>
    <row r="989" spans="7:27">
      <c r="J989" s="50"/>
      <c r="K989" s="7"/>
      <c r="L989" s="7"/>
      <c r="M989" s="7"/>
      <c r="N989" s="7"/>
      <c r="O989" s="7"/>
      <c r="P989" s="7"/>
      <c r="Q989" s="7"/>
      <c r="R989" s="7"/>
      <c r="S989" s="7"/>
      <c r="T989" s="7"/>
      <c r="U989" s="7"/>
      <c r="V989" s="7"/>
      <c r="W989" s="7"/>
      <c r="X989" s="7"/>
      <c r="Y989" s="7"/>
      <c r="Z989" s="7"/>
      <c r="AA989" s="7"/>
    </row>
    <row r="990" spans="7:27">
      <c r="J990" s="50"/>
      <c r="K990" s="7"/>
      <c r="L990" s="7"/>
      <c r="M990" s="7"/>
      <c r="N990" s="7"/>
      <c r="O990" s="7"/>
      <c r="P990" s="7"/>
      <c r="Q990" s="7"/>
      <c r="R990" s="7"/>
      <c r="S990" s="7"/>
      <c r="T990" s="7"/>
      <c r="U990" s="7"/>
      <c r="V990" s="7"/>
      <c r="W990" s="7"/>
      <c r="X990" s="7"/>
      <c r="Y990" s="7"/>
      <c r="Z990" s="7"/>
      <c r="AA990" s="7"/>
    </row>
    <row r="991" spans="7:27">
      <c r="J991" s="50"/>
      <c r="K991" s="7"/>
      <c r="L991" s="7"/>
      <c r="M991" s="7"/>
      <c r="N991" s="7"/>
      <c r="O991" s="7"/>
      <c r="P991" s="7"/>
      <c r="Q991" s="7"/>
      <c r="R991" s="7"/>
      <c r="S991" s="7"/>
      <c r="T991" s="7"/>
      <c r="U991" s="7"/>
      <c r="V991" s="7"/>
      <c r="W991" s="7"/>
      <c r="X991" s="7"/>
      <c r="Y991" s="7"/>
      <c r="Z991" s="7"/>
      <c r="AA991" s="7"/>
    </row>
    <row r="992" spans="7: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1 G19:G123">
      <formula1>$K$2:$K$6</formula1>
    </dataValidation>
  </dataValidations>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
  <sheetViews>
    <sheetView workbookViewId="0">
      <selection activeCell="D11" sqref="D11"/>
    </sheetView>
  </sheetViews>
  <sheetFormatPr defaultRowHeight="15"/>
  <cols>
    <col min="1" max="1" width="13.5703125" bestFit="1" customWidth="1"/>
    <col min="2" max="2" width="64.7109375" bestFit="1" customWidth="1"/>
    <col min="3" max="3" width="100.140625" bestFit="1" customWidth="1"/>
    <col min="4" max="4" width="79.85546875" bestFit="1" customWidth="1"/>
    <col min="5" max="5" width="120.28515625" bestFit="1" customWidth="1"/>
    <col min="6" max="6" width="10.5703125" bestFit="1" customWidth="1"/>
    <col min="7" max="7" width="9.85546875" bestFit="1" customWidth="1"/>
    <col min="8" max="8" width="8.7109375" bestFit="1" customWidth="1"/>
    <col min="9" max="9" width="13.85546875" bestFit="1" customWidth="1"/>
    <col min="10" max="10" width="34.85546875" bestFit="1" customWidth="1"/>
    <col min="11" max="12" width="11.140625" bestFit="1" customWidth="1"/>
  </cols>
  <sheetData>
    <row r="1" spans="1:12">
      <c r="A1" t="s">
        <v>195</v>
      </c>
      <c r="B1" t="s">
        <v>29</v>
      </c>
      <c r="C1" t="s">
        <v>196</v>
      </c>
      <c r="D1" t="s">
        <v>197</v>
      </c>
      <c r="E1" t="s">
        <v>198</v>
      </c>
      <c r="F1" t="s">
        <v>199</v>
      </c>
      <c r="G1" t="s">
        <v>200</v>
      </c>
      <c r="H1" t="s">
        <v>201</v>
      </c>
      <c r="I1" t="s">
        <v>202</v>
      </c>
      <c r="J1" t="s">
        <v>34</v>
      </c>
      <c r="K1" t="s">
        <v>220</v>
      </c>
      <c r="L1" t="s">
        <v>221</v>
      </c>
    </row>
    <row r="2" spans="1:12">
      <c r="A2" t="str">
        <f>'Test trải nghiệm người dùng'!A15</f>
        <v>[USR_EXP-7]</v>
      </c>
      <c r="B2" t="str">
        <f>'Test trải nghiệm người dùng'!B15</f>
        <v>Kiểm tra khi sử dụng tính năng "Mua ngay" thay vì "Thêm vào giỏ hàng"</v>
      </c>
      <c r="C2" t="s">
        <v>205</v>
      </c>
      <c r="D2" t="s">
        <v>203</v>
      </c>
      <c r="E2" t="s">
        <v>204</v>
      </c>
      <c r="F2" t="s">
        <v>206</v>
      </c>
      <c r="G2" t="s">
        <v>206</v>
      </c>
      <c r="H2" t="s">
        <v>207</v>
      </c>
      <c r="I2" t="s">
        <v>208</v>
      </c>
      <c r="J2" t="s">
        <v>209</v>
      </c>
    </row>
    <row r="3" spans="1:12">
      <c r="A3" t="str">
        <f>'Test thêm sản phẩm'!A18</f>
        <v>[USR_ADD-10]</v>
      </c>
      <c r="B3" t="str">
        <f>'Test thêm sản phẩm'!B18</f>
        <v>Thêm sản phẩm khi tài khoản bị khóa</v>
      </c>
      <c r="C3" t="s">
        <v>211</v>
      </c>
      <c r="D3" t="s">
        <v>164</v>
      </c>
      <c r="E3" t="s">
        <v>212</v>
      </c>
      <c r="F3" t="s">
        <v>213</v>
      </c>
      <c r="G3" t="s">
        <v>206</v>
      </c>
      <c r="H3" t="s">
        <v>207</v>
      </c>
      <c r="I3" t="s">
        <v>214</v>
      </c>
      <c r="J3" t="s">
        <v>215</v>
      </c>
    </row>
    <row r="4" spans="1:12">
      <c r="A4" t="str">
        <f>'Test xóa sản phẩm '!A12</f>
        <v>[USR_DEL-4]</v>
      </c>
      <c r="B4" t="str">
        <f>'Test xóa sản phẩm '!B12</f>
        <v>Xóa sản phẩm khi giỏ hàng đang đồng bộ trên nhiều thiết bị</v>
      </c>
      <c r="C4" t="s">
        <v>216</v>
      </c>
      <c r="D4" t="s">
        <v>217</v>
      </c>
      <c r="E4" t="s">
        <v>218</v>
      </c>
      <c r="F4" t="s">
        <v>206</v>
      </c>
      <c r="G4" t="s">
        <v>206</v>
      </c>
      <c r="H4" t="s">
        <v>207</v>
      </c>
      <c r="I4" t="s">
        <v>208</v>
      </c>
      <c r="J4" t="s">
        <v>219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3"/>
  <sheetViews>
    <sheetView tabSelected="1" workbookViewId="0">
      <selection activeCell="K17" sqref="K17"/>
    </sheetView>
  </sheetViews>
  <sheetFormatPr defaultColWidth="14.42578125" defaultRowHeight="15" customHeight="1"/>
  <cols>
    <col min="1" max="1" width="10.28515625" customWidth="1"/>
    <col min="2" max="2" width="15.42578125" customWidth="1"/>
    <col min="3" max="3" width="22.140625" customWidth="1"/>
    <col min="4" max="6" width="10.28515625" customWidth="1"/>
    <col min="7" max="7" width="11.28515625" customWidth="1"/>
    <col min="8" max="8" width="11.5703125" customWidth="1"/>
    <col min="9" max="9" width="30.140625" customWidth="1"/>
    <col min="10" max="26" width="11.42578125" customWidth="1"/>
  </cols>
  <sheetData>
    <row r="1" spans="1:26" ht="25.5" customHeight="1">
      <c r="A1" s="7"/>
      <c r="B1" s="121" t="s">
        <v>33</v>
      </c>
      <c r="C1" s="122"/>
      <c r="D1" s="122"/>
      <c r="E1" s="122"/>
      <c r="F1" s="122"/>
      <c r="G1" s="122"/>
      <c r="H1" s="123"/>
      <c r="I1" s="7"/>
      <c r="J1" s="7"/>
      <c r="K1" s="7"/>
      <c r="L1" s="7"/>
      <c r="M1" s="7"/>
      <c r="N1" s="7"/>
      <c r="O1" s="7"/>
      <c r="P1" s="7"/>
      <c r="Q1" s="7"/>
      <c r="R1" s="7"/>
      <c r="S1" s="7"/>
      <c r="T1" s="7"/>
      <c r="U1" s="7"/>
      <c r="V1" s="7"/>
      <c r="W1" s="7"/>
      <c r="X1" s="7"/>
      <c r="Y1" s="7"/>
      <c r="Z1" s="7"/>
    </row>
    <row r="2" spans="1:26" ht="14.25" customHeight="1">
      <c r="A2" s="53"/>
      <c r="B2" s="53"/>
      <c r="C2" s="7"/>
      <c r="D2" s="7"/>
      <c r="E2" s="7"/>
      <c r="F2" s="7"/>
      <c r="G2" s="7"/>
      <c r="H2" s="54"/>
      <c r="I2" s="7"/>
      <c r="J2" s="7"/>
      <c r="K2" s="7"/>
      <c r="L2" s="7"/>
      <c r="M2" s="7"/>
      <c r="N2" s="7"/>
      <c r="O2" s="7"/>
      <c r="P2" s="7"/>
      <c r="Q2" s="7"/>
      <c r="R2" s="7"/>
      <c r="S2" s="7"/>
      <c r="T2" s="7"/>
      <c r="U2" s="7"/>
      <c r="V2" s="7"/>
      <c r="W2" s="7"/>
      <c r="X2" s="7"/>
      <c r="Y2" s="7"/>
      <c r="Z2" s="7"/>
    </row>
    <row r="3" spans="1:26" ht="12" customHeight="1">
      <c r="A3" s="7"/>
      <c r="B3" s="55" t="s">
        <v>1</v>
      </c>
      <c r="C3" s="118" t="str">
        <f>Cover!C4</f>
        <v>Shoppe</v>
      </c>
      <c r="D3" s="102"/>
      <c r="E3" s="119"/>
      <c r="F3" s="102"/>
      <c r="G3" s="56"/>
      <c r="H3" s="57"/>
      <c r="I3" s="7"/>
      <c r="J3" s="7"/>
      <c r="K3" s="7"/>
      <c r="L3" s="7"/>
      <c r="M3" s="7"/>
      <c r="N3" s="7"/>
      <c r="O3" s="7"/>
      <c r="P3" s="7"/>
      <c r="Q3" s="7"/>
      <c r="R3" s="7"/>
      <c r="S3" s="7"/>
      <c r="T3" s="7"/>
      <c r="U3" s="7"/>
      <c r="V3" s="7"/>
      <c r="W3" s="7"/>
      <c r="X3" s="7"/>
      <c r="Y3" s="7"/>
      <c r="Z3" s="7"/>
    </row>
    <row r="4" spans="1:26" ht="12" customHeight="1">
      <c r="A4" s="7"/>
      <c r="B4" s="55" t="s">
        <v>3</v>
      </c>
      <c r="C4" s="118" t="str">
        <f>Cover!C5</f>
        <v>Shoppe</v>
      </c>
      <c r="D4" s="102"/>
      <c r="E4" s="119"/>
      <c r="F4" s="102"/>
      <c r="G4" s="56"/>
      <c r="H4" s="57"/>
      <c r="I4" s="7"/>
      <c r="J4" s="7"/>
      <c r="K4" s="7"/>
      <c r="L4" s="7"/>
      <c r="M4" s="7"/>
      <c r="N4" s="7"/>
      <c r="O4" s="7"/>
      <c r="P4" s="7"/>
      <c r="Q4" s="7"/>
      <c r="R4" s="7"/>
      <c r="S4" s="7"/>
      <c r="T4" s="7"/>
      <c r="U4" s="7"/>
      <c r="V4" s="7"/>
      <c r="W4" s="7"/>
      <c r="X4" s="7"/>
      <c r="Y4" s="7"/>
      <c r="Z4" s="7"/>
    </row>
    <row r="5" spans="1:26" ht="12" customHeight="1">
      <c r="A5" s="7"/>
      <c r="B5" s="58" t="s">
        <v>5</v>
      </c>
      <c r="C5" s="118" t="str">
        <f>C4&amp;"_"&amp;"Test Report"&amp;"_"&amp;"v0.1"</f>
        <v>Shoppe_Test Report_v0.1</v>
      </c>
      <c r="D5" s="102"/>
      <c r="E5" s="119"/>
      <c r="F5" s="102"/>
      <c r="G5" s="59"/>
      <c r="H5" s="60"/>
      <c r="I5" s="7"/>
      <c r="J5" s="7"/>
      <c r="K5" s="7"/>
      <c r="L5" s="7"/>
      <c r="M5" s="7"/>
      <c r="N5" s="7"/>
      <c r="O5" s="7"/>
      <c r="P5" s="7"/>
      <c r="Q5" s="7"/>
      <c r="R5" s="7"/>
      <c r="S5" s="7"/>
      <c r="T5" s="7"/>
      <c r="U5" s="7"/>
      <c r="V5" s="7"/>
      <c r="W5" s="7"/>
      <c r="X5" s="7"/>
      <c r="Y5" s="7"/>
      <c r="Z5" s="7"/>
    </row>
    <row r="6" spans="1:26" ht="21.75" customHeight="1">
      <c r="A6" s="53"/>
      <c r="B6" s="58" t="s">
        <v>34</v>
      </c>
      <c r="C6" s="120"/>
      <c r="D6" s="101"/>
      <c r="E6" s="101"/>
      <c r="F6" s="101"/>
      <c r="G6" s="101"/>
      <c r="H6" s="102"/>
      <c r="I6" s="7"/>
      <c r="J6" s="7"/>
      <c r="K6" s="7"/>
      <c r="L6" s="7"/>
      <c r="M6" s="7"/>
      <c r="N6" s="7"/>
      <c r="O6" s="7"/>
      <c r="P6" s="7"/>
      <c r="Q6" s="7"/>
      <c r="R6" s="7"/>
      <c r="S6" s="7"/>
      <c r="T6" s="7"/>
      <c r="U6" s="7"/>
      <c r="V6" s="7"/>
      <c r="W6" s="7"/>
      <c r="X6" s="7"/>
      <c r="Y6" s="7"/>
      <c r="Z6" s="7"/>
    </row>
    <row r="7" spans="1:26" ht="14.25" customHeight="1">
      <c r="A7" s="53"/>
      <c r="B7" s="12"/>
      <c r="C7" s="61"/>
      <c r="D7" s="7"/>
      <c r="E7" s="7"/>
      <c r="F7" s="7"/>
      <c r="G7" s="7"/>
      <c r="H7" s="54"/>
      <c r="I7" s="7"/>
      <c r="J7" s="7"/>
      <c r="K7" s="7"/>
      <c r="L7" s="7"/>
      <c r="M7" s="7"/>
      <c r="N7" s="7"/>
      <c r="O7" s="7"/>
      <c r="P7" s="7"/>
      <c r="Q7" s="7"/>
      <c r="R7" s="7"/>
      <c r="S7" s="7"/>
      <c r="T7" s="7"/>
      <c r="U7" s="7"/>
      <c r="V7" s="7"/>
      <c r="W7" s="7"/>
      <c r="X7" s="7"/>
      <c r="Y7" s="7"/>
      <c r="Z7" s="7"/>
    </row>
    <row r="8" spans="1:26" ht="12.75" customHeight="1">
      <c r="A8" s="7"/>
      <c r="B8" s="12"/>
      <c r="C8" s="61"/>
      <c r="D8" s="7"/>
      <c r="E8" s="7"/>
      <c r="F8" s="7"/>
      <c r="G8" s="7"/>
      <c r="H8" s="54"/>
      <c r="I8" s="7"/>
      <c r="J8" s="7"/>
      <c r="K8" s="7"/>
      <c r="L8" s="7"/>
      <c r="M8" s="7"/>
      <c r="N8" s="7"/>
      <c r="O8" s="7"/>
      <c r="P8" s="7"/>
      <c r="Q8" s="7"/>
      <c r="R8" s="7"/>
      <c r="S8" s="7"/>
      <c r="T8" s="7"/>
      <c r="U8" s="7"/>
      <c r="V8" s="7"/>
      <c r="W8" s="7"/>
      <c r="X8" s="7"/>
      <c r="Y8" s="7"/>
      <c r="Z8" s="7"/>
    </row>
    <row r="9" spans="1:26" ht="12.75" customHeight="1">
      <c r="A9" s="7"/>
      <c r="B9" s="7"/>
      <c r="C9" s="7"/>
      <c r="D9" s="7"/>
      <c r="E9" s="7"/>
      <c r="F9" s="7"/>
      <c r="G9" s="7"/>
      <c r="H9" s="7"/>
      <c r="I9" s="7"/>
      <c r="J9" s="7"/>
      <c r="K9" s="7"/>
      <c r="L9" s="7"/>
      <c r="M9" s="7"/>
      <c r="N9" s="7"/>
      <c r="O9" s="7"/>
      <c r="P9" s="7"/>
      <c r="Q9" s="7"/>
      <c r="R9" s="7"/>
      <c r="S9" s="7"/>
      <c r="T9" s="7"/>
      <c r="U9" s="7"/>
      <c r="V9" s="7"/>
      <c r="W9" s="7"/>
      <c r="X9" s="7"/>
      <c r="Y9" s="7"/>
      <c r="Z9" s="7"/>
    </row>
    <row r="10" spans="1:26" ht="13.5" customHeight="1">
      <c r="A10" s="62"/>
      <c r="B10" s="63" t="s">
        <v>18</v>
      </c>
      <c r="C10" s="64" t="s">
        <v>35</v>
      </c>
      <c r="D10" s="65" t="s">
        <v>36</v>
      </c>
      <c r="E10" s="64" t="s">
        <v>37</v>
      </c>
      <c r="F10" s="64" t="s">
        <v>25</v>
      </c>
      <c r="G10" s="66" t="s">
        <v>24</v>
      </c>
      <c r="H10" s="67" t="s">
        <v>26</v>
      </c>
      <c r="I10" s="67" t="s">
        <v>38</v>
      </c>
      <c r="J10" s="7"/>
      <c r="K10" s="7"/>
      <c r="L10" s="7"/>
      <c r="M10" s="7"/>
      <c r="N10" s="7"/>
      <c r="O10" s="7"/>
      <c r="P10" s="7"/>
      <c r="Q10" s="7"/>
      <c r="R10" s="7"/>
      <c r="S10" s="7"/>
      <c r="T10" s="7"/>
      <c r="U10" s="7"/>
      <c r="V10" s="7"/>
      <c r="W10" s="7"/>
      <c r="X10" s="7"/>
      <c r="Y10" s="7"/>
      <c r="Z10" s="7"/>
    </row>
    <row r="11" spans="1:26" ht="12.75" customHeight="1">
      <c r="A11" s="62"/>
      <c r="B11" s="68">
        <v>1</v>
      </c>
      <c r="C11" s="69" t="str">
        <f>'Test thêm sản phẩm'!B2</f>
        <v>USR_ADD</v>
      </c>
      <c r="D11" s="70">
        <f>'Test thêm sản phẩm'!B6</f>
        <v>9</v>
      </c>
      <c r="E11" s="70">
        <f>'Test thêm sản phẩm'!C6</f>
        <v>1</v>
      </c>
      <c r="F11" s="70">
        <f>'Test thêm sản phẩm'!D6</f>
        <v>0</v>
      </c>
      <c r="G11" s="70">
        <f>'Test thêm sản phẩm'!E6</f>
        <v>0</v>
      </c>
      <c r="H11" s="70">
        <f>'Test thêm sản phẩm'!F6</f>
        <v>0</v>
      </c>
      <c r="I11" s="71">
        <f>'Test thêm sản phẩm'!G6</f>
        <v>10</v>
      </c>
      <c r="J11" s="7"/>
      <c r="K11" s="7"/>
      <c r="L11" s="7"/>
      <c r="M11" s="7"/>
      <c r="N11" s="7"/>
      <c r="O11" s="7"/>
      <c r="P11" s="7"/>
      <c r="Q11" s="7"/>
      <c r="R11" s="7"/>
      <c r="S11" s="7"/>
      <c r="T11" s="7"/>
      <c r="U11" s="7"/>
      <c r="V11" s="7"/>
      <c r="W11" s="7"/>
      <c r="X11" s="7"/>
      <c r="Y11" s="7"/>
      <c r="Z11" s="7"/>
    </row>
    <row r="12" spans="1:26" ht="12.75" customHeight="1">
      <c r="A12" s="62"/>
      <c r="B12" s="68">
        <v>2</v>
      </c>
      <c r="C12" s="69" t="str">
        <f>'Test xóa sản phẩm '!B2</f>
        <v>USR_DEL</v>
      </c>
      <c r="D12" s="70">
        <f>'Test xóa sản phẩm '!B6</f>
        <v>3</v>
      </c>
      <c r="E12" s="70">
        <f>'Test xóa sản phẩm '!C6</f>
        <v>1</v>
      </c>
      <c r="F12" s="70">
        <f>'Test xóa sản phẩm '!D6</f>
        <v>0</v>
      </c>
      <c r="G12" s="70">
        <f>'Test xóa sản phẩm '!E6</f>
        <v>0</v>
      </c>
      <c r="H12" s="70">
        <f>'Test xóa sản phẩm '!F6</f>
        <v>0</v>
      </c>
      <c r="I12" s="71">
        <f>'Test xóa sản phẩm '!G6</f>
        <v>4</v>
      </c>
      <c r="J12" s="7"/>
      <c r="K12" s="7"/>
      <c r="L12" s="7"/>
      <c r="M12" s="7"/>
      <c r="N12" s="7"/>
      <c r="O12" s="7"/>
      <c r="P12" s="7"/>
      <c r="Q12" s="7"/>
      <c r="R12" s="7"/>
      <c r="S12" s="7"/>
      <c r="T12" s="7"/>
      <c r="U12" s="7"/>
      <c r="V12" s="7"/>
      <c r="W12" s="7"/>
      <c r="X12" s="7"/>
      <c r="Y12" s="7"/>
      <c r="Z12" s="7"/>
    </row>
    <row r="13" spans="1:26" ht="12.75" customHeight="1">
      <c r="A13" s="62"/>
      <c r="B13" s="68">
        <v>3</v>
      </c>
      <c r="C13" s="69" t="str">
        <f>'Test cập nhật giỏ hàng'!B2</f>
        <v>USR_UPTDATE</v>
      </c>
      <c r="D13" s="70">
        <f>'Test cập nhật giỏ hàng'!B6</f>
        <v>5</v>
      </c>
      <c r="E13" s="70">
        <f>'Test cập nhật giỏ hàng'!C6</f>
        <v>2</v>
      </c>
      <c r="F13" s="70">
        <f>'Test cập nhật giỏ hàng'!D6</f>
        <v>0</v>
      </c>
      <c r="G13" s="70">
        <f>'Test cập nhật giỏ hàng'!E6</f>
        <v>0</v>
      </c>
      <c r="H13" s="70">
        <f>'Test cập nhật giỏ hàng'!F6</f>
        <v>0</v>
      </c>
      <c r="I13" s="71">
        <f>'Test cập nhật giỏ hàng'!G6</f>
        <v>7</v>
      </c>
      <c r="J13" s="7"/>
      <c r="K13" s="7"/>
      <c r="L13" s="7"/>
      <c r="M13" s="7"/>
      <c r="N13" s="7"/>
      <c r="O13" s="7"/>
      <c r="P13" s="7"/>
      <c r="Q13" s="7"/>
      <c r="R13" s="7"/>
      <c r="S13" s="7"/>
      <c r="T13" s="7"/>
      <c r="U13" s="7"/>
      <c r="V13" s="7"/>
      <c r="W13" s="7"/>
      <c r="X13" s="7"/>
      <c r="Y13" s="7"/>
      <c r="Z13" s="7"/>
    </row>
    <row r="14" spans="1:26" ht="12.75" customHeight="1">
      <c r="A14" s="62"/>
      <c r="B14" s="68">
        <v>4</v>
      </c>
      <c r="C14" s="69" t="str">
        <f>'Test thanh toán'!B2</f>
        <v>USR_Pay</v>
      </c>
      <c r="D14" s="70">
        <f>'Test thanh toán'!B6</f>
        <v>9</v>
      </c>
      <c r="E14" s="70">
        <f>'Test thanh toán'!C6</f>
        <v>1</v>
      </c>
      <c r="F14" s="70">
        <f>'Test thanh toán'!D6</f>
        <v>0</v>
      </c>
      <c r="G14" s="70">
        <f>'Test thanh toán'!E6</f>
        <v>0</v>
      </c>
      <c r="H14" s="70">
        <f>'Test thanh toán'!F6</f>
        <v>0</v>
      </c>
      <c r="I14" s="71">
        <f>'Test thanh toán'!G6</f>
        <v>10</v>
      </c>
      <c r="J14" s="83"/>
      <c r="K14" s="83"/>
      <c r="L14" s="83"/>
      <c r="M14" s="83"/>
      <c r="N14" s="83"/>
      <c r="O14" s="83"/>
      <c r="P14" s="83"/>
      <c r="Q14" s="83"/>
      <c r="R14" s="83"/>
      <c r="S14" s="83"/>
      <c r="T14" s="83"/>
      <c r="U14" s="83"/>
      <c r="V14" s="83"/>
      <c r="W14" s="83"/>
      <c r="X14" s="83"/>
      <c r="Y14" s="83"/>
      <c r="Z14" s="83"/>
    </row>
    <row r="15" spans="1:26" ht="12.75" customHeight="1">
      <c r="A15" s="62"/>
      <c r="B15" s="68">
        <v>5</v>
      </c>
      <c r="C15" s="69" t="str">
        <f>'Test Tìm sản phẩm tương tự'!B2</f>
        <v>USR_Find</v>
      </c>
      <c r="D15" s="70">
        <f>'Test Tìm sản phẩm tương tự'!B6</f>
        <v>3</v>
      </c>
      <c r="E15" s="70">
        <f>'Test Tìm sản phẩm tương tự'!C6</f>
        <v>0</v>
      </c>
      <c r="F15" s="70">
        <f>'Test Tìm sản phẩm tương tự'!D6</f>
        <v>0</v>
      </c>
      <c r="G15" s="70">
        <f>'Test Tìm sản phẩm tương tự'!E6</f>
        <v>0</v>
      </c>
      <c r="H15" s="70">
        <f>'Test Tìm sản phẩm tương tự'!F6</f>
        <v>0</v>
      </c>
      <c r="I15" s="70">
        <f>'Test Tìm sản phẩm tương tự'!G6</f>
        <v>3</v>
      </c>
      <c r="J15" s="83"/>
      <c r="K15" s="83"/>
      <c r="L15" s="83"/>
      <c r="M15" s="83"/>
      <c r="N15" s="83"/>
      <c r="O15" s="83"/>
      <c r="P15" s="83"/>
      <c r="Q15" s="83"/>
      <c r="R15" s="83"/>
      <c r="S15" s="83"/>
      <c r="T15" s="83"/>
      <c r="U15" s="83"/>
      <c r="V15" s="83"/>
      <c r="W15" s="83"/>
      <c r="X15" s="83"/>
      <c r="Y15" s="83"/>
      <c r="Z15" s="83"/>
    </row>
    <row r="16" spans="1:26" ht="12.75" customHeight="1">
      <c r="A16" s="62"/>
      <c r="B16" s="68">
        <v>6</v>
      </c>
      <c r="C16" s="69" t="str">
        <f>'Test shopee voucher'!B2</f>
        <v>USR_Voucher</v>
      </c>
      <c r="D16" s="70">
        <f>'Test shopee voucher'!B6</f>
        <v>2</v>
      </c>
      <c r="E16" s="70">
        <f>'Test shopee voucher'!C6</f>
        <v>1</v>
      </c>
      <c r="F16" s="70">
        <f>'Test shopee voucher'!D6</f>
        <v>0</v>
      </c>
      <c r="G16" s="70">
        <f>'Test shopee voucher'!E6</f>
        <v>0</v>
      </c>
      <c r="H16" s="70">
        <f>'Test shopee voucher'!F6</f>
        <v>0</v>
      </c>
      <c r="I16" s="70">
        <f>'Test shopee voucher'!G6</f>
        <v>3</v>
      </c>
      <c r="J16" s="83"/>
      <c r="K16" s="83"/>
      <c r="L16" s="83"/>
      <c r="M16" s="83"/>
      <c r="N16" s="83"/>
      <c r="O16" s="83"/>
      <c r="P16" s="83"/>
      <c r="Q16" s="83"/>
      <c r="R16" s="83"/>
      <c r="S16" s="83"/>
      <c r="T16" s="83"/>
      <c r="U16" s="83"/>
      <c r="V16" s="83"/>
      <c r="W16" s="83"/>
      <c r="X16" s="83"/>
      <c r="Y16" s="83"/>
      <c r="Z16" s="83"/>
    </row>
    <row r="17" spans="1:26" ht="12.75" customHeight="1">
      <c r="A17" s="62"/>
      <c r="B17" s="68">
        <v>7</v>
      </c>
      <c r="C17" s="69" t="str">
        <f>'Test trải nghiệm người dùng'!B2</f>
        <v>USR_EXP</v>
      </c>
      <c r="D17" s="70">
        <f>'Test trải nghiệm người dùng'!B6</f>
        <v>8</v>
      </c>
      <c r="E17" s="70">
        <f>'Test trải nghiệm người dùng'!C6</f>
        <v>2</v>
      </c>
      <c r="F17" s="70">
        <f>'Test trải nghiệm người dùng'!D6</f>
        <v>0</v>
      </c>
      <c r="G17" s="70">
        <f>'Test trải nghiệm người dùng'!E6</f>
        <v>0</v>
      </c>
      <c r="H17" s="70">
        <f>'Test trải nghiệm người dùng'!F6</f>
        <v>0</v>
      </c>
      <c r="I17" s="71">
        <f>'Test trải nghiệm người dùng'!G6</f>
        <v>10</v>
      </c>
      <c r="J17" s="7"/>
      <c r="K17" s="7"/>
      <c r="L17" s="7"/>
      <c r="M17" s="7"/>
      <c r="N17" s="7"/>
      <c r="O17" s="7"/>
      <c r="P17" s="7"/>
      <c r="Q17" s="7"/>
      <c r="R17" s="7"/>
      <c r="S17" s="7"/>
      <c r="T17" s="7"/>
      <c r="U17" s="7"/>
      <c r="V17" s="7"/>
      <c r="W17" s="7"/>
      <c r="X17" s="7"/>
      <c r="Y17" s="7"/>
      <c r="Z17" s="7"/>
    </row>
    <row r="18" spans="1:26" ht="12.75" customHeight="1">
      <c r="A18" s="62"/>
      <c r="B18" s="72"/>
      <c r="C18" s="73" t="s">
        <v>39</v>
      </c>
      <c r="D18" s="74">
        <f t="shared" ref="D18:I18" si="0">SUM(D9:D17)</f>
        <v>39</v>
      </c>
      <c r="E18" s="74">
        <f t="shared" si="0"/>
        <v>8</v>
      </c>
      <c r="F18" s="74">
        <f t="shared" si="0"/>
        <v>0</v>
      </c>
      <c r="G18" s="74">
        <f t="shared" si="0"/>
        <v>0</v>
      </c>
      <c r="H18" s="75">
        <f t="shared" si="0"/>
        <v>0</v>
      </c>
      <c r="I18" s="75">
        <f t="shared" si="0"/>
        <v>47</v>
      </c>
      <c r="J18" s="7"/>
      <c r="K18" s="7"/>
      <c r="L18" s="7"/>
      <c r="M18" s="7"/>
      <c r="N18" s="7"/>
      <c r="O18" s="7"/>
      <c r="P18" s="7"/>
      <c r="Q18" s="7"/>
      <c r="R18" s="7"/>
      <c r="S18" s="7"/>
      <c r="T18" s="7"/>
      <c r="U18" s="7"/>
      <c r="V18" s="7"/>
      <c r="W18" s="7"/>
      <c r="X18" s="7"/>
      <c r="Y18" s="7"/>
      <c r="Z18" s="7"/>
    </row>
    <row r="19" spans="1:26" ht="12.75" customHeight="1">
      <c r="A19" s="7"/>
      <c r="B19" s="76"/>
      <c r="C19" s="7"/>
      <c r="D19" s="77"/>
      <c r="E19" s="78"/>
      <c r="F19" s="78"/>
      <c r="G19" s="78"/>
      <c r="H19" s="78"/>
      <c r="I19" s="7"/>
      <c r="J19" s="7"/>
      <c r="K19" s="7"/>
      <c r="L19" s="7"/>
      <c r="M19" s="7"/>
      <c r="N19" s="7"/>
      <c r="O19" s="7"/>
      <c r="P19" s="7"/>
      <c r="Q19" s="7"/>
      <c r="R19" s="7"/>
      <c r="S19" s="7"/>
      <c r="T19" s="7"/>
      <c r="U19" s="7"/>
      <c r="V19" s="7"/>
      <c r="W19" s="7"/>
      <c r="X19" s="7"/>
      <c r="Y19" s="7"/>
      <c r="Z19" s="7"/>
    </row>
    <row r="20" spans="1:26" ht="12.75" customHeight="1">
      <c r="A20" s="7"/>
      <c r="B20" s="7"/>
      <c r="C20" s="5" t="s">
        <v>40</v>
      </c>
      <c r="D20" s="7"/>
      <c r="E20" s="79">
        <f>(D18+E18)*100/(I18-H18-G18)</f>
        <v>100</v>
      </c>
      <c r="F20" s="7" t="s">
        <v>41</v>
      </c>
      <c r="G20" s="7"/>
      <c r="H20" s="42"/>
      <c r="I20" s="7"/>
      <c r="J20" s="7"/>
      <c r="K20" s="7"/>
      <c r="L20" s="7"/>
      <c r="M20" s="7"/>
      <c r="N20" s="7"/>
      <c r="O20" s="7"/>
      <c r="P20" s="7"/>
      <c r="Q20" s="7"/>
      <c r="R20" s="7"/>
      <c r="S20" s="7"/>
      <c r="T20" s="7"/>
      <c r="U20" s="7"/>
      <c r="V20" s="7"/>
      <c r="W20" s="7"/>
      <c r="X20" s="7"/>
      <c r="Y20" s="7"/>
      <c r="Z20" s="7"/>
    </row>
    <row r="21" spans="1:26" ht="12.75" customHeight="1">
      <c r="A21" s="7"/>
      <c r="B21" s="7"/>
      <c r="C21" s="5" t="s">
        <v>42</v>
      </c>
      <c r="D21" s="7"/>
      <c r="E21" s="79">
        <f>D18*100/(D18+E18)</f>
        <v>82.978723404255319</v>
      </c>
      <c r="F21" s="7" t="s">
        <v>41</v>
      </c>
      <c r="G21" s="7"/>
      <c r="H21" s="42"/>
      <c r="I21" s="7"/>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t="s">
        <v>155</v>
      </c>
      <c r="I25" s="7"/>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2.75" customHeight="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2.75" customHeight="1">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2.75" customHeight="1">
      <c r="A1003" s="7"/>
      <c r="B1003" s="7"/>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Test trải nghiệm người dùng</vt:lpstr>
      <vt:lpstr>Test thêm sản phẩm</vt:lpstr>
      <vt:lpstr>Test xóa sản phẩm </vt:lpstr>
      <vt:lpstr>Test cập nhật giỏ hàng</vt:lpstr>
      <vt:lpstr>Test thanh toán</vt:lpstr>
      <vt:lpstr>Test Tìm sản phẩm tương tự</vt:lpstr>
      <vt:lpstr>Test shopee voucher</vt:lpstr>
      <vt:lpstr>Test defect</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Hii</cp:lastModifiedBy>
  <dcterms:created xsi:type="dcterms:W3CDTF">2014-07-14T08:56:24Z</dcterms:created>
  <dcterms:modified xsi:type="dcterms:W3CDTF">2025-01-18T20:51:45Z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