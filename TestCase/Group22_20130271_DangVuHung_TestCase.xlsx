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tables/table3.xml" ContentType="application/vnd.openxmlformats-officedocument.spreadsheetml.table+xml"/>
  <Override PartName="/xl/comments4.xml" ContentType="application/vnd.openxmlformats-officedocument.spreadsheetml.comments+xml"/>
  <Override PartName="/xl/tables/table4.xml" ContentType="application/vnd.openxmlformats-officedocument.spreadsheetml.table+xml"/>
  <Override PartName="/xl/comments5.xml" ContentType="application/vnd.openxmlformats-officedocument.spreadsheetml.comments+xml"/>
  <Override PartName="/xl/tables/table5.xml" ContentType="application/vnd.openxmlformats-officedocument.spreadsheetml.table+xml"/>
  <Override PartName="/xl/comments6.xml" ContentType="application/vnd.openxmlformats-officedocument.spreadsheetml.comments+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eclipse1\SoftwareTesting_Nhom22_2024\TestCase\"/>
    </mc:Choice>
  </mc:AlternateContent>
  <bookViews>
    <workbookView xWindow="0" yWindow="0" windowWidth="27810" windowHeight="11100" firstSheet="2" activeTab="6"/>
  </bookViews>
  <sheets>
    <sheet name="Cover" sheetId="1" r:id="rId1"/>
    <sheet name="Test trải nghiệm người dùng" sheetId="4" r:id="rId2"/>
    <sheet name="Test thêm sản phẩm" sheetId="12" r:id="rId3"/>
    <sheet name="Test xóa sản phẩm " sheetId="11" r:id="rId4"/>
    <sheet name="Test cập nhật giỏ hàng" sheetId="10" r:id="rId5"/>
    <sheet name="Test thanh toán" sheetId="9" r:id="rId6"/>
    <sheet name="Test defect" sheetId="13" r:id="rId7"/>
    <sheet name="Test Report" sheetId="8" r:id="rId8"/>
  </sheets>
  <definedNames>
    <definedName name="ACTION" localSheetId="4">#REF!</definedName>
    <definedName name="ACTION" localSheetId="5">#REF!</definedName>
    <definedName name="ACTION" localSheetId="2">#REF!</definedName>
    <definedName name="ACTION" localSheetId="3">#REF!</definedName>
    <definedName name="ACTION">#REF!</definedName>
    <definedName name="LOCAL_DATE_SEPARATOR" localSheetId="4">#REF!</definedName>
    <definedName name="LOCAL_DATE_SEPARATOR" localSheetId="5">#REF!</definedName>
    <definedName name="LOCAL_DATE_SEPARATOR" localSheetId="2">#REF!</definedName>
    <definedName name="LOCAL_DATE_SEPARATOR" localSheetId="3">#REF!</definedName>
    <definedName name="LOCAL_DATE_SEPARATOR">#REF!</definedName>
    <definedName name="LOCAL_DAY_FORMAT" localSheetId="4">#REF!</definedName>
    <definedName name="LOCAL_DAY_FORMAT" localSheetId="5">#REF!</definedName>
    <definedName name="LOCAL_DAY_FORMAT" localSheetId="2">#REF!</definedName>
    <definedName name="LOCAL_DAY_FORMAT" localSheetId="3">#REF!</definedName>
    <definedName name="LOCAL_DAY_FORMAT">#REF!</definedName>
    <definedName name="LOCAL_HOUR_FORMAT" localSheetId="4">#REF!</definedName>
    <definedName name="LOCAL_HOUR_FORMAT" localSheetId="5">#REF!</definedName>
    <definedName name="LOCAL_HOUR_FORMAT" localSheetId="2">#REF!</definedName>
    <definedName name="LOCAL_HOUR_FORMAT" localSheetId="3">#REF!</definedName>
    <definedName name="LOCAL_HOUR_FORMAT">#REF!</definedName>
    <definedName name="LOCAL_MINUTE_FORMAT" localSheetId="4">#REF!</definedName>
    <definedName name="LOCAL_MINUTE_FORMAT" localSheetId="5">#REF!</definedName>
    <definedName name="LOCAL_MINUTE_FORMAT" localSheetId="2">#REF!</definedName>
    <definedName name="LOCAL_MINUTE_FORMAT" localSheetId="3">#REF!</definedName>
    <definedName name="LOCAL_MINUTE_FORMAT">#REF!</definedName>
    <definedName name="LOCAL_MONTH_FORMAT" localSheetId="4">#REF!</definedName>
    <definedName name="LOCAL_MONTH_FORMAT" localSheetId="5">#REF!</definedName>
    <definedName name="LOCAL_MONTH_FORMAT" localSheetId="2">#REF!</definedName>
    <definedName name="LOCAL_MONTH_FORMAT" localSheetId="3">#REF!</definedName>
    <definedName name="LOCAL_MONTH_FORMAT">#REF!</definedName>
    <definedName name="LOCAL_SECOND_FORMAT" localSheetId="4">#REF!</definedName>
    <definedName name="LOCAL_SECOND_FORMAT" localSheetId="5">#REF!</definedName>
    <definedName name="LOCAL_SECOND_FORMAT" localSheetId="2">#REF!</definedName>
    <definedName name="LOCAL_SECOND_FORMAT" localSheetId="3">#REF!</definedName>
    <definedName name="LOCAL_SECOND_FORMAT">#REF!</definedName>
    <definedName name="LOCAL_TIME_SEPARATOR" localSheetId="4">#REF!</definedName>
    <definedName name="LOCAL_TIME_SEPARATOR" localSheetId="5">#REF!</definedName>
    <definedName name="LOCAL_TIME_SEPARATOR" localSheetId="2">#REF!</definedName>
    <definedName name="LOCAL_TIME_SEPARATOR" localSheetId="3">#REF!</definedName>
    <definedName name="LOCAL_TIME_SEPARATOR">#REF!</definedName>
    <definedName name="LOCAL_YEAR_FORMAT" localSheetId="4">#REF!</definedName>
    <definedName name="LOCAL_YEAR_FORMAT" localSheetId="5">#REF!</definedName>
    <definedName name="LOCAL_YEAR_FORMAT" localSheetId="2">#REF!</definedName>
    <definedName name="LOCAL_YEAR_FORMAT" localSheetId="3">#REF!</definedName>
    <definedName name="LOCAL_YEAR_FORMAT">#REF!</definedName>
  </definedNames>
  <calcPr calcId="162913"/>
  <extLs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B4" i="13" l="1"/>
  <c r="A4" i="13"/>
  <c r="B3" i="13"/>
  <c r="A3" i="13"/>
  <c r="B2" i="13"/>
  <c r="E15" i="8" l="1"/>
  <c r="F15" i="8"/>
  <c r="G15" i="8"/>
  <c r="H15" i="8"/>
  <c r="D15" i="8"/>
  <c r="E14" i="8"/>
  <c r="F14" i="8"/>
  <c r="G14" i="8"/>
  <c r="H14" i="8"/>
  <c r="D14" i="8"/>
  <c r="I14" i="8"/>
  <c r="E13" i="8"/>
  <c r="F13" i="8"/>
  <c r="G13" i="8"/>
  <c r="H13" i="8"/>
  <c r="D13" i="8"/>
  <c r="I13" i="8"/>
  <c r="E12" i="8"/>
  <c r="F12" i="8"/>
  <c r="G12" i="8"/>
  <c r="H12" i="8"/>
  <c r="D12" i="8"/>
  <c r="F6" i="9"/>
  <c r="E6" i="9"/>
  <c r="D6" i="9"/>
  <c r="C6" i="9"/>
  <c r="B6" i="9"/>
  <c r="G6" i="10"/>
  <c r="F6" i="10"/>
  <c r="E6" i="10"/>
  <c r="D6" i="10"/>
  <c r="C6" i="10"/>
  <c r="B6" i="10"/>
  <c r="A9" i="10"/>
  <c r="A10" i="10"/>
  <c r="A11" i="10"/>
  <c r="A12" i="10"/>
  <c r="A13" i="10"/>
  <c r="A14" i="10"/>
  <c r="A15" i="10"/>
  <c r="C15" i="8"/>
  <c r="C14" i="8"/>
  <c r="C13" i="8"/>
  <c r="C12" i="8"/>
  <c r="C11" i="8"/>
  <c r="A12" i="11"/>
  <c r="F6" i="11"/>
  <c r="E6" i="11"/>
  <c r="D6" i="11"/>
  <c r="C6" i="11"/>
  <c r="B6" i="11"/>
  <c r="F6" i="12"/>
  <c r="H11" i="8" s="1"/>
  <c r="E6" i="12"/>
  <c r="G11" i="8" s="1"/>
  <c r="D6" i="12"/>
  <c r="F11" i="8" s="1"/>
  <c r="C6" i="12"/>
  <c r="E11" i="8" s="1"/>
  <c r="B6" i="12"/>
  <c r="D11" i="8" s="1"/>
  <c r="E6" i="4"/>
  <c r="D6" i="4"/>
  <c r="F6" i="4"/>
  <c r="C6" i="4"/>
  <c r="B6" i="4"/>
  <c r="A13" i="4"/>
  <c r="A14" i="4"/>
  <c r="A15" i="4"/>
  <c r="A2" i="13" s="1"/>
  <c r="A16" i="4"/>
  <c r="A17" i="4"/>
  <c r="A18" i="4"/>
  <c r="A9" i="12"/>
  <c r="A10" i="12"/>
  <c r="A11" i="12"/>
  <c r="A12" i="12"/>
  <c r="A13" i="12"/>
  <c r="A14" i="12"/>
  <c r="A15" i="12"/>
  <c r="A16" i="12"/>
  <c r="A17" i="12"/>
  <c r="A18" i="12"/>
  <c r="G6" i="12" s="1"/>
  <c r="I11" i="8" s="1"/>
  <c r="A10" i="9" l="1"/>
  <c r="A11" i="9"/>
  <c r="A12" i="9"/>
  <c r="A13" i="9"/>
  <c r="A14" i="9"/>
  <c r="A15" i="9"/>
  <c r="A16" i="9"/>
  <c r="A17" i="9"/>
  <c r="A18" i="9"/>
  <c r="A9" i="9"/>
  <c r="A10" i="11"/>
  <c r="A11" i="11"/>
  <c r="A9" i="11"/>
  <c r="A9" i="4"/>
  <c r="A10" i="4"/>
  <c r="A11" i="4"/>
  <c r="A12" i="4"/>
  <c r="G6" i="9" l="1"/>
  <c r="G6" i="11"/>
  <c r="I12" i="8" s="1"/>
  <c r="C4" i="8" l="1"/>
  <c r="C5" i="8" s="1"/>
  <c r="C3" i="8"/>
  <c r="D16" i="8" l="1"/>
  <c r="G16" i="8"/>
  <c r="G6" i="4"/>
  <c r="I15" i="8" s="1"/>
  <c r="H16" i="8"/>
  <c r="E16" i="8"/>
  <c r="E19" i="8" l="1"/>
  <c r="I16" i="8"/>
  <c r="E18" i="8" s="1"/>
  <c r="F16" i="8"/>
</calcChain>
</file>

<file path=xl/comments1.xml><?xml version="1.0" encoding="utf-8"?>
<comments xmlns="http://schemas.openxmlformats.org/spreadsheetml/2006/main">
  <authors>
    <author/>
  </authors>
  <commentList>
    <comment ref="E11" authorId="0" shapeId="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comments3.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4.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5.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6.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sharedStrings.xml><?xml version="1.0" encoding="utf-8"?>
<sst xmlns="http://schemas.openxmlformats.org/spreadsheetml/2006/main" count="393" uniqueCount="224">
  <si>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</si>
  <si>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</si>
  <si>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</si>
  <si>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</si>
  <si>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</si>
  <si>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</si>
  <si>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</si>
  <si>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</si>
  <si>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</si>
  <si>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</si>
  <si>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</si>
  <si>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</si>
  <si>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</si>
  <si>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</si>
  <si>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</si>
  <si>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</si>
  <si>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</si>
  <si>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</si>
  <si>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No</t>
  </si>
  <si>
    <t>Module Code</t>
  </si>
  <si>
    <t>Passed</t>
  </si>
  <si>
    <t>Test requirement</t>
  </si>
  <si>
    <t>Failed</t>
  </si>
  <si>
    <t>Tester</t>
  </si>
  <si>
    <t>Blocked</t>
  </si>
  <si>
    <t>Untested</t>
  </si>
  <si>
    <t>Skipped</t>
  </si>
  <si>
    <t>Number of Test cases</t>
  </si>
  <si>
    <t>ID</t>
  </si>
  <si>
    <t>Test Case Description</t>
  </si>
  <si>
    <t>Test Case Procedure</t>
  </si>
  <si>
    <t>Expected Output</t>
  </si>
  <si>
    <t>Result</t>
  </si>
  <si>
    <t>TEST REPORT</t>
  </si>
  <si>
    <t>Notes</t>
  </si>
  <si>
    <t>Module code</t>
  </si>
  <si>
    <t>Pass</t>
  </si>
  <si>
    <t>Fail</t>
  </si>
  <si>
    <t>Number of  test cases</t>
  </si>
  <si>
    <t>Sub total</t>
  </si>
  <si>
    <t>Test coverage</t>
  </si>
  <si>
    <t>%</t>
  </si>
  <si>
    <t>Test successful coverage</t>
  </si>
  <si>
    <t>Đặng Vũ Hưng</t>
  </si>
  <si>
    <t>Shoppe</t>
  </si>
  <si>
    <t>Sản phẩm  được thêm vào giỏ hàng.
Số lượng sản phẩm trong giỏ hàng là 1.
Tổng giá trị giỏ hàng cập nhật chính xác.</t>
  </si>
  <si>
    <t xml:space="preserve">Hệ thống chuyển người dùng sang trang đăng nhập.
Sau khi đăng nhập thành công sẽ trở về trang chi tiết sản phẩm.
</t>
  </si>
  <si>
    <t>Precondition</t>
  </si>
  <si>
    <t>Người dùng đã đăng nhập vào tài khoản.</t>
  </si>
  <si>
    <t xml:space="preserve">Thêm một sản phẩm vào giỏ hàng </t>
  </si>
  <si>
    <t xml:space="preserve">Người dùng đã đăng nhập vào tài khoản. </t>
  </si>
  <si>
    <t>1. Truy cập vào trang chi tiết sản phẩm.
2. Nhấn "Thêm vào giỏ hàng".</t>
  </si>
  <si>
    <t>Thêm một sản phẩm vào giỏ hàng khi không đăng nhập</t>
  </si>
  <si>
    <t>Người dùng chưa đăng nhập vào tài khoản.</t>
  </si>
  <si>
    <t>Thêm một sản phẩm vào giỏ hàng sau khi chọn biến thể (size, màu sắc)</t>
  </si>
  <si>
    <t>Người dùng đã đăng nhập vào tài khoản.
Sản phẩm có các biến thể (size, màu sắc).</t>
  </si>
  <si>
    <t>1. Truy cập vào trang chi tiết sản phẩm.
2. Chọn biến thể (size, màu sắc).
3. Nhấn "Thêm vào giỏ hàng".</t>
  </si>
  <si>
    <t xml:space="preserve">Sản phẩm với biến thể đã chọn được thêm vào giỏ hàng thành công.
Tổng giá trị giỏ hàng cập nhật chính xác
</t>
  </si>
  <si>
    <t>Thêm nhiều sản phẩm vào giỏ hàng</t>
  </si>
  <si>
    <t>1. Truy cập vào trang chi tiết sản phẩm.
2. Nhấn "Thêm vào giỏ hàng".
3. Quay lại trang sản phẩm khác và tiếp tục nhấn "Thêm vào giỏ hàng".</t>
  </si>
  <si>
    <t xml:space="preserve">Các sản phẩm được thêm vào giỏ hàng thành công.
Tổng giá trị giỏ hàng cập nhật chính xác
</t>
  </si>
  <si>
    <t>Thêm sản phẩm vào giỏ hàng khi sản phẩm đã hết hàng</t>
  </si>
  <si>
    <t>Người dùng đã đăng nhập vào tài khoản.
Sản phẩm đã hết hàng.</t>
  </si>
  <si>
    <t>1. Truy cập vào trang chi tiết sản phẩm đã hết hàng.
2. Nhấn "Thêm vào giỏ hàng".</t>
  </si>
  <si>
    <t>Hệ thống hiển thị thông báo "Sản phẩm hết hàng" và không thể thêm vào giỏ hàng.</t>
  </si>
  <si>
    <t>Thêm sản phẩm vào giỏ hàng khi có mã giảm giá</t>
  </si>
  <si>
    <t>Người dùng đã đăng nhập vào tài khoản.
Người dùng đã có mã giảm giá hợp lệ.</t>
  </si>
  <si>
    <t>1. Truy cập vào trang chi tiết sản phẩm.
2. Nhấn "Thêm vào giỏ hàng".
3. Nhập mã giảm giá khi thanh toán.</t>
  </si>
  <si>
    <t>Mã giảm giá được áp dụng và giá trị giỏ hàng giảm chính xác.</t>
  </si>
  <si>
    <t>Thêm sản phẩm vào giỏ hàng và kiểm tra giỏ hàng ngay</t>
  </si>
  <si>
    <t>1. Thêm sản phẩm vào giỏ hàng.
2. Nhấn vào biểu tượng giỏ hàng để xem giỏ.</t>
  </si>
  <si>
    <t xml:space="preserve">Sản phẩm vừa thêm vào giỏ hàng hiển thị trong giỏ và giá trị chính xác.
</t>
  </si>
  <si>
    <t>Thêm sản phẩm vào giỏ hàng khi có chương trình khuyến mãi</t>
  </si>
  <si>
    <t>Sản phẩm đang có chương trình khuyến mãi.</t>
  </si>
  <si>
    <t xml:space="preserve">1. Truy cập vào trang chi tiết sản phẩm có khuyến mãi.
2. Nhấn "Thêm vào giỏ hàng".
</t>
  </si>
  <si>
    <t>Khuyến mãi được áp dụng và giá trị giỏ hàng giảm đúng.</t>
  </si>
  <si>
    <t>Xóa một sản phẩm khỏi giỏ hàng</t>
  </si>
  <si>
    <t>Giỏ hàng có ít nhất một sản phẩm</t>
  </si>
  <si>
    <t>1. Truy cập vào giỏ hàng.
2. Nhấn nút "Xóa" của sản phẩm muốn xóa.</t>
  </si>
  <si>
    <t>Sản phẩm được xóa khỏi giỏ hàng thành công.
Giá trị đơn hàng giảm đúng</t>
  </si>
  <si>
    <t>Xóa nhiều sản phẩm khỏi giỏ hàng</t>
  </si>
  <si>
    <t>Giỏ hàng có nhiều sản phẩm.</t>
  </si>
  <si>
    <t>1. Truy cập vào giỏ hàng.
2. Chọn nhiều sản phẩm muốn xóa.
3. Nhấn nút "Xóa".</t>
  </si>
  <si>
    <t>Xóa tất cả sản phẩm khỏi giỏ hàng</t>
  </si>
  <si>
    <t>1. Truy cập vào giỏ hàng.
2. Nhấn nút "Xóa tất cả sản phẩm".</t>
  </si>
  <si>
    <t>Giỏ hàng trở thành trống, không còn sản phẩm nào.</t>
  </si>
  <si>
    <t>Cập nhật số lượng sản phẩm trong giỏ hàng thành công</t>
  </si>
  <si>
    <t>Người dùng đã đăng nhập vào tài khoản Shopee và có ít nhất một sản phẩm trong giỏ hàng</t>
  </si>
  <si>
    <t>Số lượng sản phẩm được cập nhật thành công và tổng giá trị giỏ hàng được thay đổi.</t>
  </si>
  <si>
    <t>Cập nhật số lượng sản phẩm vượt quá số lượng có sẵn trong kho.</t>
  </si>
  <si>
    <t>Người dùng đã đăng nhập vào tài khoản Shopee và sản phẩm trong giỏ hàng có số lượng kho hạn chế.</t>
  </si>
  <si>
    <t>Hệ thống thông báo rằng số lượng nhập vượt quá số lượng trong kho và không thể cập nhật.</t>
  </si>
  <si>
    <t>Kiểm tra việc không nhập số lượng.</t>
  </si>
  <si>
    <t>Người dùng đã đăng nhập và có sản phẩm trong giỏ hàng.</t>
  </si>
  <si>
    <t>1.Vào giỏ hàng.
2.Chọn sản phẩm trong giỏ hàng muốn cập nhật số lượng.
3.Nhập số lượng mới</t>
  </si>
  <si>
    <t xml:space="preserve">1.Vào giỏ hàng.
2.Chọn sản phẩm có số lượng trong kho ít.
3.Nhập số lượng lớn hơn số lượng có sẵn trong kho.
</t>
  </si>
  <si>
    <t>1.Vào giỏ hàng.
2.Chọn sản phẩm và không nhập số lượng mới, để trống ô số lượng.
3.Nhấn nút enter.</t>
  </si>
  <si>
    <t>Hệ thống yêu cầu người dùng nhập số lượng hợp lệ trước khi thực hiện cập nhật.</t>
  </si>
  <si>
    <t>Cập nhật số lượng sản phẩm đã hết hàng</t>
  </si>
  <si>
    <t>Người dùng đã đăng nhập và sản phẩm đã hết hàng</t>
  </si>
  <si>
    <t>1.Vào giỏ hàng.
2.Chọn sản phẩm đã hết hàng.
3.Nhập số lượng mới .</t>
  </si>
  <si>
    <t>Hệ thống thông báo sản phẩm này không còn hàng và không thể cập nhật số lượng.</t>
  </si>
  <si>
    <t>Cập nhật số lượng sản phẩm khi giỏ hàng có sản phẩm đang trong chương trình flash sale.</t>
  </si>
  <si>
    <t xml:space="preserve"> Người dùng đã đăng nhập và có sản phẩm trong giỏ hàng đang tham gia chương trình flash sale.</t>
  </si>
  <si>
    <t xml:space="preserve">1.Vào giỏ hàng.
2.Chọn sản phẩm tham gia flash sale.
3.Thay đổi số lượng </t>
  </si>
  <si>
    <t>Cập nhật số lượng sản phẩm với giá đã thay đổi</t>
  </si>
  <si>
    <t>Người dùng đã đăng nhập và có sản phẩm trong giỏ hàng, giá sản phẩm thay đổi.</t>
  </si>
  <si>
    <t>1.Vào giỏ hàng.
2.Chọn sản phẩm và thay đổi số lượng.</t>
  </si>
  <si>
    <t>Hệ thống hiển thị giá mới của sản phẩm và giỏ hàng được tính lại.</t>
  </si>
  <si>
    <t>Cập nhật số lượng sản phẩm từ trang chi tiết giỏ hàng</t>
  </si>
  <si>
    <t>1.Vào giỏ hàng.
2.Chọn "Xem chi tiết" cho sản phẩm muốn thay đổi số lượng.
3.Thay đổi số lượng và nhấn "thêm vào giỏt".</t>
  </si>
  <si>
    <t>Số lượng sản phẩm được cập nhật và tổng giá trị giỏ hàng thay đổi.</t>
  </si>
  <si>
    <t>Kiểm tra việc hiển thị sản phẩm trong giỏ hàng khi giỏ hàng không có sản phẩm.</t>
  </si>
  <si>
    <t xml:space="preserve"> Người dùng đã đăng nhập và giỏ hàng chưa có sản phẩm.</t>
  </si>
  <si>
    <t>Vào giỏ hàng.</t>
  </si>
  <si>
    <t>Hệ thống hiển thị thông báo "Giỏ hàng của bạn trống" hoặc không có sản phẩm nào được hiển thị trong giỏ hàng.</t>
  </si>
  <si>
    <t>Hiển thị thông tin sản phẩm trong giỏ hàng khi có một sản phẩm.</t>
  </si>
  <si>
    <t>Người dùng đã đăng nhập và có một sản phẩm trong giỏ hàng.</t>
  </si>
  <si>
    <t>1.Thêm một sản phẩm vào giỏ hàng.
2.Vào giỏ hàng.</t>
  </si>
  <si>
    <t>Hệ thống hiển thị sản phẩm với các thông tin như tên sản phẩm, hình ảnh, số lượng, giá, và tổng tiền.</t>
  </si>
  <si>
    <t xml:space="preserve"> Hệ thống hiển thị tất cả các sản phẩm trong giỏ hàng với đầy đủ thông tin (tên, hình ảnh, số lượng, giá, tổng tiền).</t>
  </si>
  <si>
    <t>1.Thêm nhiều sản phẩm vào giỏ hàng.
2.Vào giỏ hàng.</t>
  </si>
  <si>
    <t>Người dùng đã đăng nhập và có nhiều sản phẩm trong giỏ hàng.</t>
  </si>
  <si>
    <t>Hiển thị thông tin sản phẩm trong giỏ hàng khi có nhiều sản phẩm</t>
  </si>
  <si>
    <t>Kiểm tra hiển thị tổng giá trị giỏ hàng.</t>
  </si>
  <si>
    <t xml:space="preserve"> Người dùng đã đăng nhập và có sản phẩm trong giỏ hàng.</t>
  </si>
  <si>
    <t xml:space="preserve"> Hệ thống hiển thị tổng giá trị của giỏ hàng, bao gồm tổng số tiền của tất cả sản phẩm trong giỏ.</t>
  </si>
  <si>
    <t>Kiểm tra quy trình thanh toán khi giỏ hàng có một sản phẩm.</t>
  </si>
  <si>
    <t>Người dùng đã đăng nhập và giỏ hàng có một sản phẩm.</t>
  </si>
  <si>
    <t>Hệ thống hiển thị thông báo thanh toán thành công và đơn hàng được tạo, bao gồm các sản phẩm đã chọn.</t>
  </si>
  <si>
    <t>1.Vào giỏ hàng chọn sản phẩm muốn thanh toán và nhấn "Thanh toán".
2.Chọn phương thức thanh toán và địa chỉ giao hàng.
3.Xác nhận thanh toán.</t>
  </si>
  <si>
    <t>Kiểm tra thanh toán với phương thức thanh toán COD (Thanh toán khi nhận hàng).</t>
  </si>
  <si>
    <t>1.Vào giỏ hàng chọn sản phẩm muốn thanh toán và nhấn "Thanh toán".
2.Chọn phương thức thanh toán là "Thanh toán khi nhận hàng (COD)". và địa chỉ giao hàng.
3.Xác nhận thanh toán.</t>
  </si>
  <si>
    <t>Hệ thống hiển thị thông báo thanh toán thành công và đơn hàng được tạo, phương thức thanh toán là COD.</t>
  </si>
  <si>
    <t>Kiểm tra thanh toán với phương thức thanh toán qua thẻ tín dụng/ghi nợ.</t>
  </si>
  <si>
    <t>1.Vào giỏ hàng chọn sản phẩm muốn thanh toán và nhấn "Thanh toán".
2.Chọn phương thức thanh toán qua thẻ tín dụng/ghi nợ.". và địa chỉ giao hàng.
3.Xác nhận thanh toán.</t>
  </si>
  <si>
    <t>Hệ thống xác nhận thanh toán qua thẻ tín dụng/ghi nợ thành công và đơn hàng được tạo.</t>
  </si>
  <si>
    <t>Kiểm tra thanh toán với phương thức thanh toán qua shoppe pay</t>
  </si>
  <si>
    <t>1.Vào giỏ hàng chọn sản phẩm muốn thanh toán và nhấn "Thanh toán".
2.Chọn phương thức thanh toán qua shoppe pay.". và địa chỉ giao hàng.
3.Xác nhận thanh toán.</t>
  </si>
  <si>
    <t>Hệ thống xác nhận thanh toán qua shoppe pay thành công và đơn hàng được tạo.</t>
  </si>
  <si>
    <t>Kiểm tra thanh toán với mã giảm giá.</t>
  </si>
  <si>
    <t>1.Vào giỏ hàng chọn sản phẩm muốn thanh toán và nhấn "Thanh toán".
2.Chọn mã giảm giá của shop.
3.Xác nhận thanh toán.</t>
  </si>
  <si>
    <t>Hệ thống hiển thị số tiền giảm và tổng tiền sau khi áp dụng mã giảm giá, thanh toán thành công.</t>
  </si>
  <si>
    <t>iểm tra thanh toán khi tài khoản không có đủ tiền (với phương thức thanh toán qua shoppe pay)</t>
  </si>
  <si>
    <t>Hệ thống thông báo không đủ tiền và yêu cầu người dùng kiểm tra lại số dư.</t>
  </si>
  <si>
    <t>Kiểm tra giao diện việc thêm sản phẩm vào giỏ hàng từ trang chi tiết sản phẩm.</t>
  </si>
  <si>
    <t xml:space="preserve"> Người dùng đã đăng nhập vào tài khoản Shopee.</t>
  </si>
  <si>
    <t>1.Truy cập vào trang chi tiết của sản phẩm.
2.Chọn số lượng sản phẩm và nhấn nút "Thêm vào giỏ hàng".</t>
  </si>
  <si>
    <t>Hệ thống hiển thị thông báo thành công, và sản phẩm được thêm vào giỏ hàng. Icon giỏ hàng có số lượng sản phẩm được cập nhật</t>
  </si>
  <si>
    <t>Kiểm tra giao diện việc xem giỏ hàng khi có sản phẩm trong giỏ.</t>
  </si>
  <si>
    <t>Người dùng đã đăng nhập và có ít nhất một sản phẩm trong giỏ hàng.</t>
  </si>
  <si>
    <t>Chỉ vào biểu tượng giỏ hàng ở góc trên bên phải màn hình.</t>
  </si>
  <si>
    <t xml:space="preserve">Hệ thống hiển thị đúng biểu tượng và có số lượng sản phẩm trên biểu tượng
Khi thay đổi số lượng sản phẩm thì biểu tượng cũng thay đổi
Hệ thống hiển thị danh sách sản phẩm trong giỏ hàng, cùng với thông tin chi tiết (tên sản phẩm, hình ảnh, số lượng, giá).
</t>
  </si>
  <si>
    <t>Kiểm tra trải nghiệm người dùng khi giỏ hàng trống.</t>
  </si>
  <si>
    <t>Người dùng đã đăng nhập và giỏ hàng không có sản phẩm.</t>
  </si>
  <si>
    <t>Hệ thống hiển thị đúng biểu tượng 
Hệ thống hiển thị Chưa có sản phẩm</t>
  </si>
  <si>
    <t>Dang Vu Hung</t>
  </si>
  <si>
    <t xml:space="preserve">so </t>
  </si>
  <si>
    <t>USR_ADD</t>
  </si>
  <si>
    <t>USR_DEL</t>
  </si>
  <si>
    <t>USR_UPTDATE</t>
  </si>
  <si>
    <t>USR_Pay</t>
  </si>
  <si>
    <t>Thêm số lượng sản phẩm vượt quá giới hạn</t>
  </si>
  <si>
    <t xml:space="preserve">1. Truy cập vào trang chi tiết sản phẩm.
2. Nhập số lượng sản phẩm vượt quá số lượng tối đa
</t>
  </si>
  <si>
    <t>Hệ thống hiện thông báo Số lượng bạn chọn đã đạt mức tối đa của sản phẩm này</t>
  </si>
  <si>
    <t>Thêm sản phẩm khi tài khoản bị khóa</t>
  </si>
  <si>
    <t>Hệ thống hiển thị thông báo lỗi "Tài khoản bị hạn chế".</t>
  </si>
  <si>
    <t>Kiểm tra Tốc độ phản hồi khi thêm sản phẩm vào giỏ hàng</t>
  </si>
  <si>
    <t>Đo thời gian phản hồi sau khi nhấn "Thêm vào giỏ hàng".</t>
  </si>
  <si>
    <t xml:space="preserve"> Người dùng đã đăng nhập vào tài khoản Shopee và đã nhấn nút thêm giỏ hàng.</t>
  </si>
  <si>
    <t>Phản hồi trong vòng 1-2 giây</t>
  </si>
  <si>
    <t>USR_EXP</t>
  </si>
  <si>
    <t>Kiểm tra Tốc độ tải trang thanh toán</t>
  </si>
  <si>
    <t>Người dùng đã đăng nhập vào tài khoản Shopee và ở trang giỏ hàng đã nhấn nút mua hàng.</t>
  </si>
  <si>
    <t>Đo thời gian tải trang thanh toán sau khi nhấn nút "Mua hàng</t>
  </si>
  <si>
    <t>Trang tải hoàn tất trong vòng 2-3 giây.</t>
  </si>
  <si>
    <t xml:space="preserve">Kiểm tra hiển thị khi có nhiều phương thức thanh toán
</t>
  </si>
  <si>
    <t>Người dùng đã đăng nhập vào tài khoản Shopee và vào trang thanh toán.</t>
  </si>
  <si>
    <t>Chọn lần lượt giữa các tab phương thức thanh toán (Ví ShopeePay, Thẻ tín dụng, COD, ATM...).</t>
  </si>
  <si>
    <t>Các phương thức thanh toán hiển thị đúng và trong thời gian 1-2 giây.</t>
  </si>
  <si>
    <t>Kiểm tra khi sử dụng tính năng "Mua ngay" thay vì "Thêm vào giỏ hàng"</t>
  </si>
  <si>
    <t>Người dùng đã đăng nhập vào tài khoản Shopee</t>
  </si>
  <si>
    <t xml:space="preserve">Nhấn "Mua ngay" trên sản phẩm </t>
  </si>
  <si>
    <t>Hệ thống chuyển trực tiếp đến thanh toán mà không qua giỏ hàng.</t>
  </si>
  <si>
    <t>Kiểm tra Tốc độ tải trang giỏ hàng</t>
  </si>
  <si>
    <t xml:space="preserve">1. Truy cập vào giỏ hàng khi có nhiều sản phẩm.
</t>
  </si>
  <si>
    <t>Giỏ hàng tải hoàn tất trong vòng 2-3 giây, không bị lag.</t>
  </si>
  <si>
    <t>Kiểm tra hiệu năng khi xóa nhiều sản phẩm</t>
  </si>
  <si>
    <t>Chọn và xóa 10-20 sản phẩm khỏi giỏ hàng cùng lúc.</t>
  </si>
  <si>
    <t>Người dùng đã đăng nhập vào tài khoản Shopee và ở trang giỏ hàng</t>
  </si>
  <si>
    <t>Hệ thống xử lý nhanh trong 1-2 giây, không gặp lỗi hoặc hiển thị thông tin sai.</t>
  </si>
  <si>
    <t>Kiểm tra khi có nhiều người dùng cùng thao tác trên giỏ hàng</t>
  </si>
  <si>
    <t>Nhiều người dùng đăng nhập cùng lúc trên 1 tài khoản</t>
  </si>
  <si>
    <t>Nhiều người dùng cùng thêm và xóa sản phẩm cùng lúc</t>
  </si>
  <si>
    <t>Xóa sản phẩm khi giỏ hàng đang đồng bộ trên nhiều thiết bị</t>
  </si>
  <si>
    <t>Đăng nhập trên nhiều thiết bị khác nhau
Giỏ hàng có nhiều sản phẩm.</t>
  </si>
  <si>
    <t>Thiết bị còn lại cập nhật giỏ hàng tự động, không cần tải lại trang</t>
  </si>
  <si>
    <t>Test case ID</t>
  </si>
  <si>
    <t>Defect Description</t>
  </si>
  <si>
    <t>Expected Result</t>
  </si>
  <si>
    <t>Actual Result</t>
  </si>
  <si>
    <t>Severity</t>
  </si>
  <si>
    <t>Priority</t>
  </si>
  <si>
    <t>Status</t>
  </si>
  <si>
    <t>Assigned To</t>
  </si>
  <si>
    <t>Nhấn "Mua ngay" sẽ chuyển hướng đến trang thanh toán với sản phẩm đã chọn.</t>
  </si>
  <si>
    <t>Chuyển hướng vào trang giỏ hàng</t>
  </si>
  <si>
    <t>Khi sử dụng nút "Mua ngay," sản phẩm không được chuyển trực tiếp đến trang thanh toán mà đến trang giỏ àn</t>
  </si>
  <si>
    <t>High</t>
  </si>
  <si>
    <t>Open</t>
  </si>
  <si>
    <t>DEV</t>
  </si>
  <si>
    <t>Cần kiểm tra vấn đề routing frontend.</t>
  </si>
  <si>
    <t>1.Người dùng đã đăng nhập vào tài khoản bị khóa.
2. Sản phẩm tồn tại trong hệ thống và hiển thị trên trang.</t>
  </si>
  <si>
    <t>Không thể kiểm tra vì tester không có tài khoản bị khóa để thực hiện tái tạo lỗi.</t>
  </si>
  <si>
    <t>Không có tài khoản bị khóa để thực hiện kiểm tra.</t>
  </si>
  <si>
    <t>Medium</t>
  </si>
  <si>
    <t>Admin</t>
  </si>
  <si>
    <t>Đề xuất tạo tài khoản bị khóa</t>
  </si>
  <si>
    <t>Khi xóa sản phẩm từ thiết bị A, giỏ hàng trên thiết bị B không tự động load lại mà phải reload trang.</t>
  </si>
  <si>
    <t>Khi xóa sản phẩm từ thiết bị A, giỏ hàng trên thiết bị B phải reload lại trang để cập nhật.</t>
  </si>
  <si>
    <t>Sản phẩm bị xóa khỏi giỏ hàng thiết bị A, nhưng không có bất kỳ phản hồi nào trên thiết bị B cho đến khi người dùng reload lại trang.</t>
  </si>
  <si>
    <t>Kiểm tra cơ chế đồng bộ .</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</si>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</sst>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d\-mmm\-yy"/>
  </numFmts>
  <fonts count="22">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sz val="10"/>
      <color theme="1"/>
      <name val="Calibri"/>
      <family val="2"/>
    </font>
    <font>
      <i/>
      <sz val="10"/>
      <color rgb="FF008000"/>
      <name val="Tahoma"/>
      <family val="2"/>
    </font>
    <font>
      <b/>
      <sz val="10"/>
      <color rgb="FFFFFFFF"/>
      <name val="Tahoma"/>
      <family val="2"/>
    </font>
    <font>
      <b/>
      <sz val="10"/>
      <color rgb="FF000000"/>
      <name val="Tahoma"/>
      <family val="2"/>
    </font>
    <font>
      <sz val="11"/>
      <color rgb="FF000000"/>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rgb="FF000080"/>
        <bgColor rgb="FF000080"/>
      </patternFill>
    </fill>
  </fills>
  <borders count="50">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4">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1" fillId="0" borderId="4" xfId="0" applyFont="1" applyBorder="1" applyAlignment="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2" borderId="1" xfId="0" applyFont="1" applyFill="1" applyBorder="1" applyAlignment="1">
      <alignment wrapText="1"/>
    </xf>
    <xf numFmtId="0" fontId="12" fillId="2" borderId="25" xfId="0" applyFont="1" applyFill="1" applyBorder="1" applyAlignment="1"/>
    <xf numFmtId="0" fontId="12" fillId="2" borderId="1" xfId="0" applyFont="1" applyFill="1" applyBorder="1" applyAlignment="1">
      <alignment wrapText="1"/>
    </xf>
    <xf numFmtId="0" fontId="10" fillId="2" borderId="1" xfId="0" applyFont="1" applyFill="1" applyBorder="1" applyAlignment="1">
      <alignment wrapText="1"/>
    </xf>
    <xf numFmtId="0" fontId="13" fillId="2" borderId="1" xfId="0" applyFont="1" applyFill="1" applyBorder="1" applyAlignment="1">
      <alignment wrapText="1"/>
    </xf>
    <xf numFmtId="0" fontId="12" fillId="2" borderId="1" xfId="0" applyFont="1" applyFill="1" applyBorder="1" applyAlignment="1"/>
    <xf numFmtId="0" fontId="10" fillId="2" borderId="26" xfId="0" applyFont="1" applyFill="1" applyBorder="1" applyAlignment="1">
      <alignment horizontal="left" wrapText="1"/>
    </xf>
    <xf numFmtId="0" fontId="10" fillId="2" borderId="27" xfId="0" applyFont="1" applyFill="1" applyBorder="1" applyAlignment="1">
      <alignment horizontal="left" wrapText="1"/>
    </xf>
    <xf numFmtId="0" fontId="8" fillId="2" borderId="27"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3" fillId="2" borderId="1" xfId="0" applyFont="1" applyFill="1" applyBorder="1" applyAlignment="1">
      <alignment horizontal="center" wrapText="1"/>
    </xf>
    <xf numFmtId="0" fontId="12" fillId="2" borderId="28" xfId="0" applyFont="1" applyFill="1" applyBorder="1" applyAlignment="1">
      <alignment horizontal="center" vertical="center"/>
    </xf>
    <xf numFmtId="0" fontId="12" fillId="2" borderId="1" xfId="0" applyFont="1" applyFill="1" applyBorder="1" applyAlignment="1">
      <alignment horizontal="center" wrapText="1"/>
    </xf>
    <xf numFmtId="0" fontId="1" fillId="2" borderId="1" xfId="0" applyFont="1" applyFill="1" applyBorder="1" applyAlignment="1">
      <alignment horizontal="center" wrapText="1"/>
    </xf>
    <xf numFmtId="0" fontId="7" fillId="3" borderId="29"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2" xfId="0" applyFont="1" applyFill="1" applyBorder="1" applyAlignment="1">
      <alignment vertical="top" wrapText="1"/>
    </xf>
    <xf numFmtId="0" fontId="13" fillId="2" borderId="1" xfId="0" applyFont="1" applyFill="1" applyBorder="1" applyAlignment="1">
      <alignment vertical="top" wrapText="1"/>
    </xf>
    <xf numFmtId="0" fontId="9" fillId="2" borderId="1" xfId="0" applyFont="1" applyFill="1" applyBorder="1" applyAlignment="1">
      <alignment horizontal="left" vertical="center"/>
    </xf>
    <xf numFmtId="0" fontId="13" fillId="2" borderId="1" xfId="0" applyFont="1" applyFill="1" applyBorder="1" applyAlignment="1"/>
    <xf numFmtId="0" fontId="1" fillId="2" borderId="5" xfId="0" applyFont="1" applyFill="1" applyBorder="1" applyAlignment="1">
      <alignment vertical="top" wrapText="1"/>
    </xf>
    <xf numFmtId="0" fontId="11" fillId="0" borderId="5" xfId="0" applyFont="1" applyBorder="1" applyAlignment="1">
      <alignment horizontal="left" vertical="top" wrapText="1"/>
    </xf>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32" xfId="0" applyFont="1" applyFill="1" applyBorder="1" applyAlignment="1">
      <alignment horizontal="left"/>
    </xf>
    <xf numFmtId="0" fontId="1" fillId="2" borderId="32" xfId="0" applyFont="1" applyFill="1" applyBorder="1" applyAlignment="1">
      <alignment vertical="top"/>
    </xf>
    <xf numFmtId="0" fontId="5" fillId="2" borderId="5" xfId="0" applyFont="1" applyFill="1" applyBorder="1" applyAlignment="1">
      <alignment vertical="center"/>
    </xf>
    <xf numFmtId="14" fontId="5" fillId="2" borderId="32" xfId="0" applyNumberFormat="1" applyFont="1" applyFill="1" applyBorder="1" applyAlignment="1">
      <alignment horizontal="left"/>
    </xf>
    <xf numFmtId="0" fontId="6" fillId="2" borderId="32" xfId="0" applyFont="1" applyFill="1" applyBorder="1" applyAlignment="1">
      <alignment vertical="top"/>
    </xf>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4" fillId="3" borderId="41" xfId="0" applyFont="1" applyFill="1" applyBorder="1" applyAlignment="1">
      <alignment horizontal="center"/>
    </xf>
    <xf numFmtId="0" fontId="7" fillId="3" borderId="21" xfId="0" applyFont="1" applyFill="1" applyBorder="1" applyAlignment="1"/>
    <xf numFmtId="0" fontId="14" fillId="3" borderId="21" xfId="0" applyFont="1" applyFill="1" applyBorder="1" applyAlignment="1">
      <alignment horizontal="center"/>
    </xf>
    <xf numFmtId="0" fontId="14" fillId="3" borderId="42"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5" fillId="2" borderId="1" xfId="0" applyNumberFormat="1" applyFont="1" applyFill="1" applyBorder="1" applyAlignment="1">
      <alignment horizontal="right" wrapText="1"/>
    </xf>
    <xf numFmtId="0" fontId="16" fillId="2" borderId="32" xfId="0" applyFont="1" applyFill="1" applyBorder="1" applyAlignment="1">
      <alignment vertical="top" wrapText="1"/>
    </xf>
    <xf numFmtId="0" fontId="17" fillId="0" borderId="5" xfId="0" applyFont="1" applyBorder="1" applyAlignment="1">
      <alignment horizontal="left" vertical="top" wrapText="1"/>
    </xf>
    <xf numFmtId="0" fontId="19" fillId="3" borderId="30" xfId="0" applyFont="1" applyFill="1" applyBorder="1" applyAlignment="1">
      <alignment horizontal="center" vertical="center" wrapText="1"/>
    </xf>
    <xf numFmtId="0" fontId="1" fillId="2" borderId="35" xfId="0" applyFont="1" applyFill="1" applyBorder="1" applyAlignment="1"/>
    <xf numFmtId="0" fontId="12" fillId="2" borderId="35" xfId="0" applyFont="1" applyFill="1" applyBorder="1" applyAlignment="1">
      <alignment wrapText="1"/>
    </xf>
    <xf numFmtId="0" fontId="12" fillId="2" borderId="35" xfId="0" applyFont="1" applyFill="1" applyBorder="1" applyAlignment="1"/>
    <xf numFmtId="0" fontId="7" fillId="3" borderId="44" xfId="0" applyFont="1" applyFill="1" applyBorder="1" applyAlignment="1">
      <alignment horizontal="center" vertical="center" wrapText="1"/>
    </xf>
    <xf numFmtId="0" fontId="19" fillId="3" borderId="31" xfId="0" applyFont="1" applyFill="1" applyBorder="1" applyAlignment="1">
      <alignment horizontal="center" vertical="center" wrapText="1"/>
    </xf>
    <xf numFmtId="0" fontId="16" fillId="2" borderId="43" xfId="0" applyFont="1" applyFill="1" applyBorder="1" applyAlignment="1">
      <alignment vertical="top" wrapText="1"/>
    </xf>
    <xf numFmtId="0" fontId="17" fillId="0" borderId="43" xfId="0" applyFont="1" applyBorder="1" applyAlignment="1">
      <alignment horizontal="left" vertical="top" wrapText="1"/>
    </xf>
    <xf numFmtId="0" fontId="0" fillId="0" borderId="43" xfId="0" applyFont="1" applyBorder="1" applyAlignment="1"/>
    <xf numFmtId="0" fontId="11" fillId="0" borderId="43" xfId="0" applyFont="1" applyBorder="1" applyAlignment="1">
      <alignment horizontal="left" vertical="top" wrapText="1"/>
    </xf>
    <xf numFmtId="0" fontId="1" fillId="2" borderId="43" xfId="0" applyFont="1" applyFill="1" applyBorder="1" applyAlignment="1">
      <alignment vertical="top" wrapText="1"/>
    </xf>
    <xf numFmtId="0" fontId="20" fillId="2" borderId="5"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19" fillId="3" borderId="46"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16" fillId="2" borderId="48" xfId="0" applyFont="1" applyFill="1" applyBorder="1" applyAlignment="1">
      <alignment vertical="top" wrapText="1"/>
    </xf>
    <xf numFmtId="0" fontId="1" fillId="2" borderId="49" xfId="0" applyFont="1" applyFill="1" applyBorder="1" applyAlignment="1">
      <alignment vertical="top" wrapText="1"/>
    </xf>
    <xf numFmtId="0" fontId="21" fillId="0" borderId="43" xfId="0" applyFont="1" applyBorder="1" applyAlignment="1">
      <alignment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18" fillId="2" borderId="2" xfId="0" applyFont="1" applyFill="1" applyBorder="1" applyAlignment="1">
      <alignment horizontal="left" vertical="center" wrapText="1"/>
    </xf>
    <xf numFmtId="0" fontId="18" fillId="2" borderId="23"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2" borderId="23"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cellXfs>
  <cellStyles count="1">
    <cellStyle name="Normal" xfId="0" builtinId="0"/>
  </cellStyles>
  <dxfs count="27">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tableStyleElement type="headerRow" dxfId="26"/>
      <tableStyleElement type="totalRow" dxfId="25"/>
      <tableStyleElement type="firstRowStripe" dxfId="24"/>
      <tableStyleElement type="secondRowStripe" dxfId="23"/>
    </tableStyle>
    <tableStyle name="List Organisation-style" pivot="0" count="4">
      <tableStyleElement type="headerRow" dxfId="22"/>
      <tableStyleElement type="total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id="1" name="Table_1" displayName="Table_1" ref="A8:F18">
  <tableColumns count="6">
    <tableColumn id="1" name="ID" dataDxfId="18">
      <calculatedColumnFormula>IF(OR(B9&lt;&gt;"",D9&lt;&gt;""),"["&amp;TEXT($B$2,"##")&amp;"-"&amp;TEXT(ROW()-8,"##")&amp;"]","")</calculatedColumnFormula>
    </tableColumn>
    <tableColumn id="2" name="Test Case Description" dataDxfId="17"/>
    <tableColumn id="9" name="Precondition" dataDxfId="16"/>
    <tableColumn id="3" name="Test Case Procedure" dataDxfId="15"/>
    <tableColumn id="4" name="Expected Output" dataDxfId="14"/>
    <tableColumn id="6" name="Result" dataDxfId="13"/>
  </tableColumns>
  <tableStyleInfo name="Login-Logout-style" showFirstColumn="1" showLastColumn="1" showRowStripes="1" showColumnStripes="0"/>
</table>
</file>

<file path=xl/tables/table2.xml><?xml version="1.0" encoding="utf-8"?>
<table xmlns="http://schemas.openxmlformats.org/spreadsheetml/2006/main" id="5" name="Table_16" displayName="Table_16" ref="A8:F18">
  <tableColumns count="6">
    <tableColumn id="1" name="ID"/>
    <tableColumn id="2" name="Test Case Description"/>
    <tableColumn id="9" name="Precondition" dataDxfId="12"/>
    <tableColumn id="3" name="Test Case Procedure"/>
    <tableColumn id="4" name="Expected Output"/>
    <tableColumn id="6" name="Result"/>
  </tableColumns>
  <tableStyleInfo name="Login-Logout-style" showFirstColumn="1" showLastColumn="1" showRowStripes="1" showColumnStripes="0"/>
</table>
</file>

<file path=xl/tables/table3.xml><?xml version="1.0" encoding="utf-8"?>
<table xmlns="http://schemas.openxmlformats.org/spreadsheetml/2006/main" id="4" name="Table_15" displayName="Table_15" ref="A8:F12" headerRowDxfId="11" totalsRowDxfId="8" headerRowBorderDxfId="10" tableBorderDxfId="9">
  <tableColumns count="6">
    <tableColumn id="1" name="ID" dataDxfId="7">
      <calculatedColumnFormula>IF(OR(B9&lt;&gt;"",D9&lt;&gt;""),"["&amp;TEXT($B$2,"##")&amp;"-"&amp;TEXT(ROW()-8,"##")&amp;"]","")</calculatedColumnFormula>
    </tableColumn>
    <tableColumn id="2" name="Test Case Description" dataDxfId="6"/>
    <tableColumn id="9" name="Precondition" dataDxfId="5"/>
    <tableColumn id="3" name="Test Case Procedure" dataDxfId="4"/>
    <tableColumn id="4" name="Expected Output" dataDxfId="3"/>
    <tableColumn id="6" name="Result" dataDxfId="2"/>
  </tableColumns>
  <tableStyleInfo name="Login-Logout-style" showFirstColumn="1" showLastColumn="1" showRowStripes="1" showColumnStripes="0"/>
</table>
</file>

<file path=xl/tables/table4.xml><?xml version="1.0" encoding="utf-8"?>
<table xmlns="http://schemas.openxmlformats.org/spreadsheetml/2006/main" id="3" name="Table_14" displayName="Table_14" ref="A8:F15">
  <tableColumns count="6">
    <tableColumn id="1" name="ID">
      <calculatedColumnFormula>IF(OR(B9&lt;&gt;"",D9&lt;&gt;""),"["&amp;TEXT($B$2,"##")&amp;"-"&amp;TEXT(ROW()-8,"##")&amp;"]","")</calculatedColumnFormula>
    </tableColumn>
    <tableColumn id="2" name="Test Case Description"/>
    <tableColumn id="9" name="Precondition" dataDxfId="1"/>
    <tableColumn id="3" name="Test Case Procedure"/>
    <tableColumn id="4" name="Expected Output"/>
    <tableColumn id="6" name="Result"/>
  </tableColumns>
  <tableStyleInfo name="Login-Logout-style" showFirstColumn="1" showLastColumn="1" showRowStripes="1" showColumnStripes="0"/>
</table>
</file>

<file path=xl/tables/table5.xml><?xml version="1.0" encoding="utf-8"?>
<table xmlns="http://schemas.openxmlformats.org/spreadsheetml/2006/main" id="2" name="Table_13" displayName="Table_13" ref="A8:F18">
  <tableColumns count="6">
    <tableColumn id="1" name="ID">
      <calculatedColumnFormula>IF(OR(B9&lt;&gt;"",D9&lt;&gt;""),"["&amp;TEXT($B$2,"##")&amp;"-"&amp;TEXT(ROW()-8,"##")&amp;"]","")</calculatedColumnFormula>
    </tableColumn>
    <tableColumn id="2" name="Test Case Description"/>
    <tableColumn id="9" name="Precondition" dataDxfId="0"/>
    <tableColumn id="3" name="Test Case Procedure"/>
    <tableColumn id="4" name="Expected Output"/>
    <tableColumn id="6" name="Result"/>
  </tableColumns>
  <tableStyleInfo name="Login-Logout-style" showFirstColumn="1" showLastColumn="1" showRowStripes="1" showColumnStripes="0"/>
</table>
</file>

<file path=xl/tables/table6.xml><?xml version="1.0" encoding="utf-8"?>
<table xmlns="http://schemas.openxmlformats.org/spreadsheetml/2006/main" id="6" name="Table6" displayName="Table6" ref="A1:L4" totalsRowShown="0">
  <autoFilter ref="A1:L4"/>
  <tableColumns count="12">
    <tableColumn id="1" name="Test case ID"/>
    <tableColumn id="2" name="Test Case Description"/>
    <tableColumn id="3" name="Defect Description"/>
    <tableColumn id="4" name="Expected Result"/>
    <tableColumn id="5" name="Actual Result"/>
    <tableColumn id="6" name="Severity"/>
    <tableColumn id="7" name="Priority"/>
    <tableColumn id="8" name="Status"/>
    <tableColumn id="9" name="Assigned To"/>
    <tableColumn id="10" name="Notes"/>
    <tableColumn id="11" name="Column1"/>
    <tableColumn id="12" name="Column2"/>
  </tableColumns>
  <tableStyleInfo name="Login-Logout-style"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4.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2" sqref="B12"/>
    </sheetView>
  </sheetViews>
  <sheetFormatPr defaultColWidth="14.42578125" defaultRowHeight="15" customHeight="1"/>
  <cols>
    <col min="1" max="1" width="2.42578125" customWidth="1"/>
    <col min="2" max="2" width="22.42578125" customWidth="1"/>
    <col min="3" max="3" width="10.42578125" customWidth="1"/>
    <col min="4" max="4" width="16.5703125" customWidth="1"/>
    <col min="5" max="5" width="9.140625" customWidth="1"/>
    <col min="6" max="6" width="35.5703125" customWidth="1"/>
    <col min="7" max="7" width="35.42578125" customWidth="1"/>
    <col min="8" max="26" width="11.425781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100" t="s">
        <v>0</v>
      </c>
      <c r="C2" s="101"/>
      <c r="D2" s="101"/>
      <c r="E2" s="101"/>
      <c r="F2" s="101"/>
      <c r="G2" s="102"/>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03" t="s">
        <v>44</v>
      </c>
      <c r="D4" s="101"/>
      <c r="E4" s="102"/>
      <c r="F4" s="8" t="s">
        <v>2</v>
      </c>
      <c r="G4" s="9" t="s">
        <v>43</v>
      </c>
      <c r="H4" s="1"/>
      <c r="I4" s="1"/>
      <c r="J4" s="1"/>
      <c r="K4" s="1"/>
      <c r="L4" s="1"/>
      <c r="M4" s="1"/>
      <c r="N4" s="1"/>
      <c r="O4" s="1"/>
      <c r="P4" s="1"/>
      <c r="Q4" s="1"/>
      <c r="R4" s="1"/>
      <c r="S4" s="1"/>
      <c r="T4" s="1"/>
      <c r="U4" s="1"/>
      <c r="V4" s="1"/>
      <c r="W4" s="1"/>
      <c r="X4" s="1"/>
      <c r="Y4" s="1"/>
      <c r="Z4" s="1"/>
    </row>
    <row r="5" spans="1:26" ht="14.25" customHeight="1">
      <c r="A5" s="1"/>
      <c r="B5" s="8" t="s">
        <v>3</v>
      </c>
      <c r="C5" s="103" t="s">
        <v>44</v>
      </c>
      <c r="D5" s="101"/>
      <c r="E5" s="102"/>
      <c r="F5" s="8" t="s">
        <v>4</v>
      </c>
      <c r="G5" s="9" t="s">
        <v>43</v>
      </c>
      <c r="H5" s="1"/>
      <c r="I5" s="1"/>
      <c r="J5" s="1"/>
      <c r="K5" s="1"/>
      <c r="L5" s="1"/>
      <c r="M5" s="1"/>
      <c r="N5" s="1"/>
      <c r="O5" s="1"/>
      <c r="P5" s="1"/>
      <c r="Q5" s="1"/>
      <c r="R5" s="1"/>
      <c r="S5" s="1"/>
      <c r="T5" s="1"/>
      <c r="U5" s="1"/>
      <c r="V5" s="1"/>
      <c r="W5" s="1"/>
      <c r="X5" s="1"/>
      <c r="Y5" s="1"/>
      <c r="Z5" s="1"/>
    </row>
    <row r="6" spans="1:26" ht="15.75" customHeight="1">
      <c r="A6" s="1"/>
      <c r="B6" s="104" t="s">
        <v>5</v>
      </c>
      <c r="C6" s="106"/>
      <c r="D6" s="107"/>
      <c r="E6" s="108"/>
      <c r="F6" s="8" t="s">
        <v>6</v>
      </c>
      <c r="G6" s="10"/>
      <c r="H6" s="1"/>
      <c r="I6" s="1"/>
      <c r="J6" s="1"/>
      <c r="K6" s="1"/>
      <c r="L6" s="1"/>
      <c r="M6" s="1"/>
      <c r="N6" s="1"/>
      <c r="O6" s="1"/>
      <c r="P6" s="1"/>
      <c r="Q6" s="1"/>
      <c r="R6" s="1"/>
      <c r="S6" s="1"/>
      <c r="T6" s="1"/>
      <c r="U6" s="1"/>
      <c r="V6" s="1"/>
      <c r="W6" s="1"/>
      <c r="X6" s="1"/>
      <c r="Y6" s="1"/>
      <c r="Z6" s="1"/>
    </row>
    <row r="7" spans="1:26" ht="13.5" customHeight="1">
      <c r="A7" s="1"/>
      <c r="B7" s="105"/>
      <c r="C7" s="109"/>
      <c r="D7" s="110"/>
      <c r="E7" s="111"/>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c r="A12" s="18"/>
      <c r="B12" s="19"/>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c r="A13" s="18"/>
      <c r="B13" s="23"/>
      <c r="C13" s="20"/>
      <c r="D13" s="21"/>
      <c r="E13" s="21"/>
      <c r="F13" s="21"/>
      <c r="G13" s="24"/>
      <c r="H13" s="18"/>
      <c r="I13" s="18"/>
      <c r="J13" s="18"/>
      <c r="K13" s="18"/>
      <c r="L13" s="18"/>
      <c r="M13" s="18"/>
      <c r="N13" s="18"/>
      <c r="O13" s="18"/>
      <c r="P13" s="18"/>
      <c r="Q13" s="18"/>
      <c r="R13" s="18"/>
      <c r="S13" s="18"/>
      <c r="T13" s="18"/>
      <c r="U13" s="18"/>
      <c r="V13" s="18"/>
      <c r="W13" s="18"/>
      <c r="X13" s="18"/>
      <c r="Y13" s="18"/>
      <c r="Z13" s="18"/>
    </row>
    <row r="14" spans="1:26" ht="19.5" customHeight="1">
      <c r="A14" s="18"/>
      <c r="B14" s="23"/>
      <c r="C14" s="20"/>
      <c r="D14" s="21"/>
      <c r="E14" s="21"/>
      <c r="F14" s="21"/>
      <c r="G14" s="24"/>
      <c r="H14" s="18"/>
      <c r="I14" s="18"/>
      <c r="J14" s="18"/>
      <c r="K14" s="18"/>
      <c r="L14" s="18"/>
      <c r="M14" s="18"/>
      <c r="N14" s="18"/>
      <c r="O14" s="18"/>
      <c r="P14" s="18"/>
      <c r="Q14" s="18"/>
      <c r="R14" s="18"/>
      <c r="S14" s="18"/>
      <c r="T14" s="18"/>
      <c r="U14" s="18"/>
      <c r="V14" s="18"/>
      <c r="W14" s="18"/>
      <c r="X14" s="18"/>
      <c r="Y14" s="18"/>
      <c r="Z14" s="18"/>
    </row>
    <row r="15" spans="1:26" ht="21.75" customHeight="1">
      <c r="A15" s="18"/>
      <c r="B15" s="23"/>
      <c r="C15" s="20"/>
      <c r="D15" s="21"/>
      <c r="E15" s="21"/>
      <c r="F15" s="21"/>
      <c r="G15" s="24"/>
      <c r="H15" s="18"/>
      <c r="I15" s="18"/>
      <c r="J15" s="18"/>
      <c r="K15" s="18"/>
      <c r="L15" s="18"/>
      <c r="M15" s="18"/>
      <c r="N15" s="18"/>
      <c r="O15" s="18"/>
      <c r="P15" s="18"/>
      <c r="Q15" s="18"/>
      <c r="R15" s="18"/>
      <c r="S15" s="18"/>
      <c r="T15" s="18"/>
      <c r="U15" s="18"/>
      <c r="V15" s="18"/>
      <c r="W15" s="18"/>
      <c r="X15" s="18"/>
      <c r="Y15" s="18"/>
      <c r="Z15" s="18"/>
    </row>
    <row r="16" spans="1:26" ht="19.5" customHeight="1">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A4" workbookViewId="0">
      <selection activeCell="B15" sqref="B15"/>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171</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156</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COUNTIF($F$8:$F$970,K2)</f>
        <v>8</v>
      </c>
      <c r="C6" s="41">
        <f>COUNTIF($F$8:$F$970,K3)</f>
        <v>1</v>
      </c>
      <c r="D6" s="41">
        <f>COUNTIF($F$8:$F$970,K5)</f>
        <v>1</v>
      </c>
      <c r="E6" s="41">
        <f>COUNTIF($F$8:$F$970,K4)</f>
        <v>0</v>
      </c>
      <c r="F6" s="41">
        <f>COUNTIF($F$8:$F$970,K6)</f>
        <v>0</v>
      </c>
      <c r="G6" s="117">
        <f>COUNTA(A9:A976)</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86" t="s">
        <v>28</v>
      </c>
      <c r="B8" s="87" t="s">
        <v>29</v>
      </c>
      <c r="C8" s="87" t="s">
        <v>47</v>
      </c>
      <c r="D8" s="87" t="s">
        <v>30</v>
      </c>
      <c r="E8" s="87" t="s">
        <v>31</v>
      </c>
      <c r="F8" s="45" t="s">
        <v>32</v>
      </c>
      <c r="G8" s="46"/>
      <c r="H8" s="34"/>
      <c r="I8" s="34"/>
      <c r="J8" s="34"/>
      <c r="K8" s="34"/>
      <c r="L8" s="34"/>
      <c r="M8" s="34"/>
      <c r="N8" s="34"/>
      <c r="O8" s="34"/>
      <c r="P8" s="34"/>
      <c r="Q8" s="34"/>
      <c r="R8" s="34"/>
      <c r="S8" s="34"/>
      <c r="T8" s="34"/>
      <c r="U8" s="34"/>
      <c r="V8" s="34"/>
      <c r="W8" s="34"/>
      <c r="X8" s="34"/>
    </row>
    <row r="9" spans="1:27" ht="51">
      <c r="A9" s="88" t="str">
        <f>IF(OR(B9&lt;&gt;"",D9&lt;&gt;""),"["&amp;TEXT($B$2,"##")&amp;"-"&amp;TEXT(ROW()-8,"##")&amp;"]","")</f>
        <v>[USR_EXP-1]</v>
      </c>
      <c r="B9" s="89" t="s">
        <v>145</v>
      </c>
      <c r="C9" s="90" t="s">
        <v>146</v>
      </c>
      <c r="D9" s="91" t="s">
        <v>147</v>
      </c>
      <c r="E9" s="91" t="s">
        <v>148</v>
      </c>
      <c r="F9" s="92" t="s">
        <v>20</v>
      </c>
      <c r="G9" s="48"/>
      <c r="H9" s="7"/>
      <c r="I9" s="7"/>
      <c r="J9" s="7"/>
      <c r="K9" s="7"/>
      <c r="L9" s="7"/>
      <c r="M9" s="7"/>
      <c r="N9" s="7"/>
      <c r="O9" s="7"/>
      <c r="P9" s="7"/>
      <c r="Q9" s="7"/>
      <c r="R9" s="7"/>
      <c r="S9" s="7"/>
      <c r="T9" s="7"/>
      <c r="U9" s="7"/>
      <c r="V9" s="7"/>
      <c r="W9" s="7"/>
      <c r="X9" s="7"/>
    </row>
    <row r="10" spans="1:27" ht="63.75">
      <c r="A10" s="88" t="str">
        <f t="shared" ref="A10:A18" si="0">IF(OR(B10&lt;&gt;"",D10&lt;&gt;""),"["&amp;TEXT($B$2,"##")&amp;"-"&amp;TEXT(ROW()-8,"##")&amp;"]","")</f>
        <v>[USR_EXP-2]</v>
      </c>
      <c r="B10" s="89" t="s">
        <v>149</v>
      </c>
      <c r="C10" s="90" t="s">
        <v>150</v>
      </c>
      <c r="D10" s="91" t="s">
        <v>151</v>
      </c>
      <c r="E10" s="91" t="s">
        <v>152</v>
      </c>
      <c r="F10" s="92" t="s">
        <v>20</v>
      </c>
      <c r="G10" s="48"/>
      <c r="H10" s="7"/>
      <c r="I10" s="7"/>
      <c r="J10" s="7"/>
      <c r="K10" s="7"/>
      <c r="L10" s="7"/>
      <c r="M10" s="7"/>
      <c r="N10" s="7"/>
      <c r="O10" s="7"/>
      <c r="P10" s="7"/>
      <c r="Q10" s="7"/>
      <c r="R10" s="7"/>
      <c r="S10" s="7"/>
      <c r="T10" s="7"/>
      <c r="U10" s="7"/>
      <c r="V10" s="7"/>
      <c r="W10" s="7"/>
      <c r="X10" s="7"/>
    </row>
    <row r="11" spans="1:27" ht="25.5">
      <c r="A11" s="88" t="str">
        <f t="shared" si="0"/>
        <v>[USR_EXP-3]</v>
      </c>
      <c r="B11" s="89" t="s">
        <v>153</v>
      </c>
      <c r="C11" s="90" t="s">
        <v>154</v>
      </c>
      <c r="D11" s="91" t="s">
        <v>151</v>
      </c>
      <c r="E11" s="91" t="s">
        <v>155</v>
      </c>
      <c r="F11" s="92" t="s">
        <v>20</v>
      </c>
      <c r="G11" s="49"/>
      <c r="H11" s="34"/>
      <c r="I11" s="34"/>
      <c r="J11" s="34"/>
      <c r="K11" s="34"/>
      <c r="L11" s="34"/>
      <c r="M11" s="34"/>
      <c r="N11" s="34"/>
      <c r="O11" s="34"/>
      <c r="P11" s="34"/>
      <c r="Q11" s="34"/>
      <c r="R11" s="34"/>
      <c r="S11" s="34"/>
      <c r="T11" s="34"/>
      <c r="U11" s="34"/>
      <c r="V11" s="34"/>
      <c r="W11" s="34"/>
      <c r="X11" s="34"/>
    </row>
    <row r="12" spans="1:27" ht="25.5">
      <c r="A12" s="88" t="str">
        <f t="shared" si="0"/>
        <v>[USR_EXP-4]</v>
      </c>
      <c r="B12" s="89" t="s">
        <v>167</v>
      </c>
      <c r="C12" s="90" t="s">
        <v>169</v>
      </c>
      <c r="D12" s="91" t="s">
        <v>168</v>
      </c>
      <c r="E12" s="91" t="s">
        <v>170</v>
      </c>
      <c r="F12" s="92" t="s">
        <v>20</v>
      </c>
      <c r="G12" s="48"/>
      <c r="H12" s="7"/>
      <c r="I12" s="7"/>
      <c r="J12" s="7"/>
      <c r="K12" s="7"/>
      <c r="L12" s="7"/>
      <c r="M12" s="7"/>
      <c r="N12" s="7"/>
      <c r="O12" s="7"/>
      <c r="P12" s="7"/>
      <c r="Q12" s="7"/>
      <c r="R12" s="7"/>
      <c r="S12" s="7"/>
      <c r="T12" s="7"/>
      <c r="U12" s="7"/>
      <c r="V12" s="7"/>
      <c r="W12" s="7"/>
      <c r="X12" s="7"/>
    </row>
    <row r="13" spans="1:27" ht="25.5">
      <c r="A13" s="88" t="str">
        <f t="shared" si="0"/>
        <v>[USR_EXP-5]</v>
      </c>
      <c r="B13" s="89" t="s">
        <v>172</v>
      </c>
      <c r="C13" s="90" t="s">
        <v>173</v>
      </c>
      <c r="D13" s="91" t="s">
        <v>174</v>
      </c>
      <c r="E13" s="91" t="s">
        <v>175</v>
      </c>
      <c r="F13" s="92" t="s">
        <v>20</v>
      </c>
      <c r="G13" s="7"/>
      <c r="H13" s="7"/>
      <c r="I13" s="7"/>
      <c r="J13" s="50"/>
      <c r="K13" s="7"/>
      <c r="L13" s="7"/>
      <c r="M13" s="7"/>
      <c r="N13" s="7"/>
      <c r="O13" s="7"/>
      <c r="P13" s="7"/>
      <c r="Q13" s="7"/>
      <c r="R13" s="7"/>
      <c r="S13" s="7"/>
      <c r="T13" s="7"/>
      <c r="U13" s="7"/>
      <c r="V13" s="7"/>
      <c r="W13" s="7"/>
      <c r="X13" s="7"/>
      <c r="Y13" s="7"/>
      <c r="Z13" s="7"/>
      <c r="AA13" s="7"/>
    </row>
    <row r="14" spans="1:27" ht="38.25">
      <c r="A14" s="88" t="str">
        <f t="shared" si="0"/>
        <v>[USR_EXP-6]</v>
      </c>
      <c r="B14" s="89" t="s">
        <v>176</v>
      </c>
      <c r="C14" s="90" t="s">
        <v>177</v>
      </c>
      <c r="D14" s="91" t="s">
        <v>178</v>
      </c>
      <c r="E14" s="91" t="s">
        <v>179</v>
      </c>
      <c r="F14" s="92" t="s">
        <v>20</v>
      </c>
      <c r="G14" s="7"/>
      <c r="H14" s="7"/>
      <c r="I14" s="7"/>
      <c r="J14" s="49"/>
      <c r="K14" s="34"/>
      <c r="L14" s="34"/>
      <c r="M14" s="34"/>
      <c r="N14" s="34"/>
      <c r="O14" s="34"/>
      <c r="P14" s="34"/>
      <c r="Q14" s="34"/>
      <c r="R14" s="34"/>
      <c r="S14" s="34"/>
      <c r="T14" s="34"/>
      <c r="U14" s="34"/>
      <c r="V14" s="34"/>
      <c r="W14" s="34"/>
      <c r="X14" s="34"/>
      <c r="Y14" s="34"/>
      <c r="Z14" s="34"/>
      <c r="AA14" s="34"/>
    </row>
    <row r="15" spans="1:27">
      <c r="A15" s="88" t="str">
        <f t="shared" si="0"/>
        <v>[USR_EXP-7]</v>
      </c>
      <c r="B15" s="89" t="s">
        <v>180</v>
      </c>
      <c r="C15" s="90" t="s">
        <v>181</v>
      </c>
      <c r="D15" s="91" t="s">
        <v>182</v>
      </c>
      <c r="E15" s="91" t="s">
        <v>183</v>
      </c>
      <c r="F15" s="92" t="s">
        <v>22</v>
      </c>
      <c r="G15" s="7"/>
      <c r="H15" s="7"/>
      <c r="I15" s="7"/>
      <c r="J15" s="48"/>
      <c r="K15" s="7"/>
      <c r="L15" s="7"/>
      <c r="M15" s="7"/>
      <c r="N15" s="7"/>
      <c r="O15" s="7"/>
      <c r="P15" s="7"/>
      <c r="Q15" s="7"/>
      <c r="R15" s="7"/>
      <c r="S15" s="7"/>
      <c r="T15" s="7"/>
      <c r="U15" s="7"/>
      <c r="V15" s="7"/>
      <c r="W15" s="7"/>
      <c r="X15" s="7"/>
      <c r="Y15" s="7"/>
      <c r="Z15" s="7"/>
      <c r="AA15" s="7"/>
    </row>
    <row r="16" spans="1:27" ht="27" customHeight="1">
      <c r="A16" s="88" t="str">
        <f t="shared" si="0"/>
        <v>[USR_EXP-8]</v>
      </c>
      <c r="B16" s="89" t="s">
        <v>184</v>
      </c>
      <c r="C16" s="90" t="s">
        <v>181</v>
      </c>
      <c r="D16" s="91" t="s">
        <v>185</v>
      </c>
      <c r="E16" s="91" t="s">
        <v>186</v>
      </c>
      <c r="F16" s="92" t="s">
        <v>20</v>
      </c>
      <c r="G16" s="7"/>
      <c r="H16" s="7"/>
      <c r="I16" s="7"/>
      <c r="J16" s="50"/>
      <c r="K16" s="7"/>
      <c r="L16" s="7"/>
      <c r="M16" s="7"/>
      <c r="N16" s="7"/>
      <c r="O16" s="7"/>
      <c r="P16" s="7"/>
      <c r="Q16" s="7"/>
      <c r="R16" s="7"/>
      <c r="S16" s="7"/>
      <c r="T16" s="7"/>
      <c r="U16" s="7"/>
      <c r="V16" s="7"/>
      <c r="W16" s="7"/>
      <c r="X16" s="7"/>
      <c r="Y16" s="7"/>
      <c r="Z16" s="7"/>
      <c r="AA16" s="7"/>
    </row>
    <row r="17" spans="1:27" ht="25.5">
      <c r="A17" s="88" t="str">
        <f t="shared" si="0"/>
        <v>[USR_EXP-9]</v>
      </c>
      <c r="B17" s="89" t="s">
        <v>187</v>
      </c>
      <c r="C17" s="90" t="s">
        <v>189</v>
      </c>
      <c r="D17" s="91" t="s">
        <v>188</v>
      </c>
      <c r="E17" s="91" t="s">
        <v>190</v>
      </c>
      <c r="F17" s="92" t="s">
        <v>20</v>
      </c>
      <c r="G17" s="7"/>
      <c r="H17" s="7"/>
      <c r="I17" s="7"/>
      <c r="J17" s="50"/>
      <c r="K17" s="7"/>
      <c r="L17" s="7"/>
      <c r="M17" s="7"/>
      <c r="N17" s="7"/>
      <c r="O17" s="7"/>
      <c r="P17" s="7"/>
      <c r="Q17" s="7"/>
      <c r="R17" s="7"/>
      <c r="S17" s="7"/>
      <c r="T17" s="7"/>
      <c r="U17" s="7"/>
      <c r="V17" s="7"/>
      <c r="W17" s="7"/>
      <c r="X17" s="7"/>
      <c r="Y17" s="7"/>
      <c r="Z17" s="7"/>
      <c r="AA17" s="7"/>
    </row>
    <row r="18" spans="1:27" ht="25.5">
      <c r="A18" s="88" t="str">
        <f t="shared" si="0"/>
        <v>[USR_EXP-10]</v>
      </c>
      <c r="B18" s="89" t="s">
        <v>191</v>
      </c>
      <c r="C18" s="90" t="s">
        <v>192</v>
      </c>
      <c r="D18" s="91" t="s">
        <v>193</v>
      </c>
      <c r="E18" s="91" t="s">
        <v>193</v>
      </c>
      <c r="F18" s="92" t="s">
        <v>25</v>
      </c>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3:G117 F8:F18">
      <formula1>$K$2:$K$6</formula1>
    </dataValidation>
  </dataValidations>
  <pageMargins left="0.7" right="0.7" top="0.75" bottom="0.75" header="0" footer="0"/>
  <pageSetup orientation="landscape"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13" workbookViewId="0">
      <selection activeCell="E18" sqref="E18"/>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158</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156</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COUNTIF($F$8:$F$970,K2)</f>
        <v>9</v>
      </c>
      <c r="C6" s="41">
        <f>COUNTIF($F$8:$F$970,K3)</f>
        <v>1</v>
      </c>
      <c r="D6" s="41">
        <f>COUNTIF($F$8:$F$970,K5)</f>
        <v>0</v>
      </c>
      <c r="E6" s="41">
        <f>COUNTIF($F$8:$F$970,K4)</f>
        <v>0</v>
      </c>
      <c r="F6" s="41">
        <f>COUNTIF($F$8:$F$970,K6)</f>
        <v>0</v>
      </c>
      <c r="G6" s="117">
        <f>COUNTA(A9:A976)</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38.25">
      <c r="A9" s="47" t="str">
        <f>IF(OR(B9&lt;&gt;"",D9&lt;&gt;""),"["&amp;TEXT($B$2,"##")&amp;"-"&amp;TEXT(ROW()-8,"##")&amp;"]","")</f>
        <v>[USR_ADD-1]</v>
      </c>
      <c r="B9" s="81" t="s">
        <v>49</v>
      </c>
      <c r="C9" s="81" t="s">
        <v>50</v>
      </c>
      <c r="D9" s="81" t="s">
        <v>51</v>
      </c>
      <c r="E9" s="81" t="s">
        <v>45</v>
      </c>
      <c r="F9" s="51" t="s">
        <v>20</v>
      </c>
      <c r="G9" s="48"/>
      <c r="H9" s="7"/>
      <c r="I9" s="7"/>
      <c r="J9" s="7"/>
      <c r="K9" s="7"/>
      <c r="L9" s="7"/>
      <c r="M9" s="7"/>
      <c r="N9" s="7"/>
      <c r="O9" s="7"/>
      <c r="P9" s="7"/>
      <c r="Q9" s="7"/>
      <c r="R9" s="7"/>
      <c r="S9" s="7"/>
      <c r="T9" s="7"/>
      <c r="U9" s="7"/>
      <c r="V9" s="7"/>
      <c r="W9" s="7"/>
      <c r="X9" s="7"/>
    </row>
    <row r="10" spans="1:27" ht="38.25">
      <c r="A10" s="47" t="str">
        <f t="shared" ref="A10:A18" si="0">IF(OR(B10&lt;&gt;"",D10&lt;&gt;""),"["&amp;TEXT($B$2,"##")&amp;"-"&amp;TEXT(ROW()-8,"##")&amp;"]","")</f>
        <v>[USR_ADD-2]</v>
      </c>
      <c r="B10" s="81" t="s">
        <v>52</v>
      </c>
      <c r="C10" s="81" t="s">
        <v>53</v>
      </c>
      <c r="D10" s="81" t="s">
        <v>51</v>
      </c>
      <c r="E10" s="81" t="s">
        <v>46</v>
      </c>
      <c r="F10" s="51" t="s">
        <v>20</v>
      </c>
      <c r="G10" s="48"/>
      <c r="H10" s="7"/>
      <c r="I10" s="7"/>
      <c r="J10" s="7"/>
      <c r="K10" s="7"/>
      <c r="L10" s="7"/>
      <c r="M10" s="7"/>
      <c r="N10" s="7"/>
      <c r="O10" s="7"/>
      <c r="P10" s="7"/>
      <c r="Q10" s="7"/>
      <c r="R10" s="7"/>
      <c r="S10" s="7"/>
      <c r="T10" s="7"/>
      <c r="U10" s="7"/>
      <c r="V10" s="7"/>
      <c r="W10" s="7"/>
      <c r="X10" s="7"/>
    </row>
    <row r="11" spans="1:27" ht="51">
      <c r="A11" s="47" t="str">
        <f t="shared" si="0"/>
        <v>[USR_ADD-3]</v>
      </c>
      <c r="B11" s="81" t="s">
        <v>54</v>
      </c>
      <c r="C11" s="81" t="s">
        <v>55</v>
      </c>
      <c r="D11" s="81" t="s">
        <v>56</v>
      </c>
      <c r="E11" s="81" t="s">
        <v>57</v>
      </c>
      <c r="F11" s="51" t="s">
        <v>20</v>
      </c>
      <c r="G11" s="49"/>
      <c r="H11" s="34"/>
      <c r="I11" s="34"/>
      <c r="J11" s="34"/>
      <c r="K11" s="34"/>
      <c r="L11" s="34"/>
      <c r="M11" s="34"/>
      <c r="N11" s="34"/>
      <c r="O11" s="34"/>
      <c r="P11" s="34"/>
      <c r="Q11" s="34"/>
      <c r="R11" s="34"/>
      <c r="S11" s="34"/>
      <c r="T11" s="34"/>
      <c r="U11" s="34"/>
      <c r="V11" s="34"/>
      <c r="W11" s="34"/>
      <c r="X11" s="34"/>
    </row>
    <row r="12" spans="1:27" ht="63.75">
      <c r="A12" s="47" t="str">
        <f t="shared" si="0"/>
        <v>[USR_ADD-4]</v>
      </c>
      <c r="B12" s="81" t="s">
        <v>58</v>
      </c>
      <c r="C12" s="81" t="s">
        <v>48</v>
      </c>
      <c r="D12" s="81" t="s">
        <v>59</v>
      </c>
      <c r="E12" s="81" t="s">
        <v>60</v>
      </c>
      <c r="F12" s="51" t="s">
        <v>20</v>
      </c>
      <c r="G12" s="48"/>
      <c r="H12" s="7"/>
      <c r="I12" s="7"/>
      <c r="J12" s="7"/>
      <c r="K12" s="7"/>
      <c r="L12" s="7"/>
      <c r="M12" s="7"/>
      <c r="N12" s="7"/>
      <c r="O12" s="7"/>
      <c r="P12" s="7"/>
      <c r="Q12" s="7"/>
      <c r="R12" s="7"/>
      <c r="S12" s="7"/>
      <c r="T12" s="7"/>
      <c r="U12" s="7"/>
      <c r="V12" s="7"/>
      <c r="W12" s="7"/>
      <c r="X12" s="7"/>
    </row>
    <row r="13" spans="1:27" ht="38.25">
      <c r="A13" s="47" t="str">
        <f t="shared" si="0"/>
        <v>[USR_ADD-5]</v>
      </c>
      <c r="B13" s="81" t="s">
        <v>61</v>
      </c>
      <c r="C13" s="81" t="s">
        <v>62</v>
      </c>
      <c r="D13" s="81" t="s">
        <v>63</v>
      </c>
      <c r="E13" s="81" t="s">
        <v>64</v>
      </c>
      <c r="F13" s="51" t="s">
        <v>20</v>
      </c>
      <c r="G13" s="50"/>
      <c r="H13" s="7"/>
      <c r="I13" s="7"/>
      <c r="J13" s="7"/>
      <c r="K13" s="7"/>
      <c r="L13" s="7"/>
      <c r="M13" s="7"/>
      <c r="N13" s="7"/>
      <c r="O13" s="7"/>
      <c r="P13" s="7"/>
      <c r="Q13" s="7"/>
      <c r="R13" s="7"/>
      <c r="S13" s="7"/>
      <c r="T13" s="7"/>
      <c r="U13" s="7"/>
      <c r="V13" s="7"/>
      <c r="W13" s="7"/>
      <c r="X13" s="7"/>
    </row>
    <row r="14" spans="1:27" ht="63.75">
      <c r="A14" s="47" t="str">
        <f t="shared" si="0"/>
        <v>[USR_ADD-6]</v>
      </c>
      <c r="B14" s="81" t="s">
        <v>65</v>
      </c>
      <c r="C14" s="81" t="s">
        <v>66</v>
      </c>
      <c r="D14" s="81" t="s">
        <v>67</v>
      </c>
      <c r="E14" s="81" t="s">
        <v>68</v>
      </c>
      <c r="F14" s="51" t="s">
        <v>20</v>
      </c>
      <c r="G14" s="49"/>
      <c r="H14" s="34"/>
      <c r="I14" s="34"/>
      <c r="J14" s="34"/>
      <c r="K14" s="34"/>
      <c r="L14" s="34"/>
      <c r="M14" s="34"/>
      <c r="N14" s="34"/>
      <c r="O14" s="34"/>
      <c r="P14" s="34"/>
      <c r="Q14" s="34"/>
      <c r="R14" s="34"/>
      <c r="S14" s="34"/>
      <c r="T14" s="34"/>
      <c r="U14" s="34"/>
      <c r="V14" s="34"/>
      <c r="W14" s="34"/>
      <c r="X14" s="34"/>
    </row>
    <row r="15" spans="1:27" ht="38.25">
      <c r="A15" s="47" t="str">
        <f t="shared" si="0"/>
        <v>[USR_ADD-7]</v>
      </c>
      <c r="B15" s="81" t="s">
        <v>69</v>
      </c>
      <c r="C15" s="81" t="s">
        <v>48</v>
      </c>
      <c r="D15" s="81" t="s">
        <v>70</v>
      </c>
      <c r="E15" s="81" t="s">
        <v>71</v>
      </c>
      <c r="F15" s="51" t="s">
        <v>20</v>
      </c>
      <c r="G15" s="48"/>
      <c r="H15" s="7"/>
      <c r="I15" s="7"/>
      <c r="J15" s="7"/>
      <c r="K15" s="7"/>
      <c r="L15" s="7"/>
      <c r="M15" s="7"/>
      <c r="N15" s="7"/>
      <c r="O15" s="7"/>
      <c r="P15" s="7"/>
      <c r="Q15" s="7"/>
      <c r="R15" s="7"/>
      <c r="S15" s="7"/>
      <c r="T15" s="7"/>
      <c r="U15" s="7"/>
      <c r="V15" s="7"/>
      <c r="W15" s="7"/>
      <c r="X15" s="7"/>
    </row>
    <row r="16" spans="1:27" ht="51">
      <c r="A16" s="47" t="str">
        <f t="shared" si="0"/>
        <v>[USR_ADD-8]</v>
      </c>
      <c r="B16" s="81" t="s">
        <v>72</v>
      </c>
      <c r="C16" s="81" t="s">
        <v>73</v>
      </c>
      <c r="D16" s="81" t="s">
        <v>74</v>
      </c>
      <c r="E16" s="52" t="s">
        <v>75</v>
      </c>
      <c r="F16" s="51" t="s">
        <v>20</v>
      </c>
      <c r="G16" s="50"/>
      <c r="H16" s="7"/>
      <c r="I16" s="7"/>
      <c r="J16" s="7"/>
      <c r="K16" s="7"/>
      <c r="L16" s="7"/>
      <c r="M16" s="7"/>
      <c r="N16" s="7"/>
      <c r="O16" s="7"/>
      <c r="P16" s="7"/>
      <c r="Q16" s="7"/>
      <c r="R16" s="7"/>
      <c r="S16" s="7"/>
      <c r="T16" s="7"/>
      <c r="U16" s="7"/>
      <c r="V16" s="7"/>
      <c r="W16" s="7"/>
      <c r="X16" s="7"/>
    </row>
    <row r="17" spans="1:27" ht="79.5" customHeight="1">
      <c r="A17" s="47" t="str">
        <f t="shared" si="0"/>
        <v>[USR_ADD-9]</v>
      </c>
      <c r="B17" s="81" t="s">
        <v>162</v>
      </c>
      <c r="C17" s="81" t="s">
        <v>48</v>
      </c>
      <c r="D17" s="81" t="s">
        <v>163</v>
      </c>
      <c r="E17" s="52" t="s">
        <v>164</v>
      </c>
      <c r="F17" s="51" t="s">
        <v>20</v>
      </c>
      <c r="G17" s="50"/>
      <c r="H17" s="7"/>
      <c r="I17" s="7"/>
      <c r="J17" s="7"/>
      <c r="K17" s="7"/>
      <c r="L17" s="7"/>
      <c r="M17" s="7"/>
      <c r="N17" s="7"/>
      <c r="O17" s="7"/>
      <c r="P17" s="7"/>
      <c r="Q17" s="7"/>
      <c r="R17" s="7"/>
      <c r="S17" s="7"/>
      <c r="T17" s="7"/>
      <c r="U17" s="7"/>
      <c r="V17" s="7"/>
      <c r="W17" s="7"/>
      <c r="X17" s="7"/>
    </row>
    <row r="18" spans="1:27" ht="38.25">
      <c r="A18" s="47" t="str">
        <f t="shared" si="0"/>
        <v>[USR_ADD-10]</v>
      </c>
      <c r="B18" s="81" t="s">
        <v>165</v>
      </c>
      <c r="C18" s="81" t="s">
        <v>212</v>
      </c>
      <c r="D18" s="81" t="s">
        <v>51</v>
      </c>
      <c r="E18" s="52" t="s">
        <v>166</v>
      </c>
      <c r="F18" s="51" t="s">
        <v>22</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2">
      <formula1>$K$2:$K$6</formula1>
    </dataValidation>
  </dataValidations>
  <pageMargins left="0.7" right="0.7" top="0.75" bottom="0.75" header="0" footer="0"/>
  <pageSetup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B12" sqref="B12"/>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159</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156</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3</v>
      </c>
      <c r="C6" s="41">
        <f>COUNTIF($F$8:$F$971,K3)</f>
        <v>1</v>
      </c>
      <c r="D6" s="41">
        <f>COUNTIF($F$8:$F$971,K5)</f>
        <v>0</v>
      </c>
      <c r="E6" s="41">
        <f>COUNTIF($F$8:$F$971,K4)</f>
        <v>0</v>
      </c>
      <c r="F6" s="41">
        <f>COUNTIF($F$8:$F$971,K6)</f>
        <v>0</v>
      </c>
      <c r="G6" s="117">
        <f>COUNTA(A9:A977)</f>
        <v>4</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94" t="s">
        <v>28</v>
      </c>
      <c r="B8" s="95" t="s">
        <v>29</v>
      </c>
      <c r="C8" s="95" t="s">
        <v>47</v>
      </c>
      <c r="D8" s="95" t="s">
        <v>30</v>
      </c>
      <c r="E8" s="95" t="s">
        <v>31</v>
      </c>
      <c r="F8" s="96" t="s">
        <v>32</v>
      </c>
      <c r="G8" s="46"/>
      <c r="H8" s="34"/>
      <c r="I8" s="34"/>
      <c r="J8" s="34"/>
      <c r="K8" s="34"/>
      <c r="L8" s="34"/>
      <c r="M8" s="34"/>
      <c r="N8" s="34"/>
      <c r="O8" s="34"/>
      <c r="P8" s="34"/>
      <c r="Q8" s="34"/>
      <c r="R8" s="34"/>
      <c r="S8" s="34"/>
      <c r="T8" s="34"/>
      <c r="U8" s="34"/>
      <c r="V8" s="34"/>
      <c r="W8" s="34"/>
      <c r="X8" s="34"/>
    </row>
    <row r="9" spans="1:27" ht="38.25">
      <c r="A9" s="97" t="str">
        <f>IF(OR(B9&lt;&gt;"",D9&lt;&gt;""),"["&amp;TEXT($B$2,"##")&amp;"-"&amp;TEXT(ROW()-8,"##")&amp;"]","")</f>
        <v>[USR_DEL-1]</v>
      </c>
      <c r="B9" s="89" t="s">
        <v>76</v>
      </c>
      <c r="C9" s="89" t="s">
        <v>77</v>
      </c>
      <c r="D9" s="91" t="s">
        <v>78</v>
      </c>
      <c r="E9" s="91" t="s">
        <v>79</v>
      </c>
      <c r="F9" s="98" t="s">
        <v>20</v>
      </c>
      <c r="G9" s="48"/>
      <c r="H9" s="7"/>
      <c r="I9" s="7"/>
      <c r="J9" s="7"/>
      <c r="K9" s="7"/>
      <c r="L9" s="7"/>
      <c r="M9" s="7"/>
      <c r="N9" s="7"/>
      <c r="O9" s="7"/>
      <c r="P9" s="7"/>
      <c r="Q9" s="7"/>
      <c r="R9" s="7"/>
      <c r="S9" s="7"/>
      <c r="T9" s="7"/>
      <c r="U9" s="7"/>
      <c r="V9" s="7"/>
      <c r="W9" s="7"/>
      <c r="X9" s="7"/>
    </row>
    <row r="10" spans="1:27" ht="38.25">
      <c r="A10" s="97" t="str">
        <f t="shared" ref="A10:A12" si="0">IF(OR(B10&lt;&gt;"",D10&lt;&gt;""),"["&amp;TEXT($B$2,"##")&amp;"-"&amp;TEXT(ROW()-8,"##")&amp;"]","")</f>
        <v>[USR_DEL-2]</v>
      </c>
      <c r="B10" s="89" t="s">
        <v>80</v>
      </c>
      <c r="C10" s="90" t="s">
        <v>81</v>
      </c>
      <c r="D10" s="89" t="s">
        <v>82</v>
      </c>
      <c r="E10" s="91" t="s">
        <v>79</v>
      </c>
      <c r="F10" s="98" t="s">
        <v>20</v>
      </c>
      <c r="G10" s="48"/>
      <c r="H10" s="7"/>
      <c r="I10" s="7"/>
      <c r="J10" s="7"/>
      <c r="K10" s="7"/>
      <c r="L10" s="7"/>
      <c r="M10" s="7"/>
      <c r="N10" s="7"/>
      <c r="O10" s="7"/>
      <c r="P10" s="7"/>
      <c r="Q10" s="7"/>
      <c r="R10" s="7"/>
      <c r="S10" s="7"/>
      <c r="T10" s="7"/>
      <c r="U10" s="7"/>
      <c r="V10" s="7"/>
      <c r="W10" s="7"/>
      <c r="X10" s="7"/>
    </row>
    <row r="11" spans="1:27" ht="25.5">
      <c r="A11" s="97" t="str">
        <f t="shared" si="0"/>
        <v>[USR_DEL-3]</v>
      </c>
      <c r="B11" s="89" t="s">
        <v>83</v>
      </c>
      <c r="C11" s="90" t="s">
        <v>81</v>
      </c>
      <c r="D11" s="91" t="s">
        <v>84</v>
      </c>
      <c r="E11" s="91" t="s">
        <v>85</v>
      </c>
      <c r="F11" s="98" t="s">
        <v>20</v>
      </c>
      <c r="G11" s="49"/>
      <c r="H11" s="34"/>
      <c r="I11" s="34"/>
      <c r="J11" s="34"/>
      <c r="K11" s="34"/>
      <c r="L11" s="34"/>
      <c r="M11" s="34"/>
      <c r="N11" s="34"/>
      <c r="O11" s="34"/>
      <c r="P11" s="34"/>
      <c r="Q11" s="34"/>
      <c r="R11" s="34"/>
      <c r="S11" s="34"/>
      <c r="T11" s="34"/>
      <c r="U11" s="34"/>
      <c r="V11" s="34"/>
      <c r="W11" s="34"/>
      <c r="X11" s="34"/>
    </row>
    <row r="12" spans="1:27" ht="38.25">
      <c r="A12" s="97" t="str">
        <f t="shared" si="0"/>
        <v>[USR_DEL-4]</v>
      </c>
      <c r="B12" s="89" t="s">
        <v>194</v>
      </c>
      <c r="C12" s="99" t="s">
        <v>195</v>
      </c>
      <c r="D12" s="89" t="s">
        <v>82</v>
      </c>
      <c r="E12" s="89" t="s">
        <v>196</v>
      </c>
      <c r="F12" s="98" t="s">
        <v>22</v>
      </c>
      <c r="G12" s="7"/>
      <c r="H12" s="7"/>
      <c r="I12" s="7"/>
      <c r="J12" s="48"/>
      <c r="K12" s="7"/>
      <c r="L12" s="7"/>
      <c r="M12" s="7"/>
      <c r="N12" s="7"/>
      <c r="O12" s="7"/>
      <c r="P12" s="7"/>
      <c r="Q12" s="7"/>
      <c r="R12" s="7"/>
      <c r="S12" s="7"/>
      <c r="T12" s="7"/>
      <c r="U12" s="7"/>
      <c r="V12" s="7"/>
      <c r="W12" s="7"/>
      <c r="X12" s="7"/>
      <c r="Y12" s="7"/>
      <c r="Z12" s="7"/>
      <c r="AA12" s="7"/>
    </row>
    <row r="13" spans="1:27">
      <c r="A13" s="7"/>
      <c r="B13" s="7"/>
      <c r="C13" s="83"/>
      <c r="D13" s="7"/>
      <c r="E13" s="7"/>
      <c r="F13" s="7"/>
      <c r="G13" s="7"/>
      <c r="H13" s="7"/>
      <c r="I13" s="7"/>
      <c r="J13" s="50"/>
      <c r="K13" s="7"/>
      <c r="L13" s="7"/>
      <c r="M13" s="7"/>
      <c r="N13" s="7"/>
      <c r="O13" s="7"/>
      <c r="P13" s="7"/>
      <c r="Q13" s="7"/>
      <c r="R13" s="7"/>
      <c r="S13" s="7"/>
      <c r="T13" s="7"/>
      <c r="U13" s="7"/>
      <c r="V13" s="7"/>
      <c r="W13" s="7"/>
      <c r="X13" s="7"/>
      <c r="Y13" s="7"/>
      <c r="Z13" s="7"/>
      <c r="AA13" s="7"/>
    </row>
    <row r="14" spans="1:27">
      <c r="A14" s="7"/>
      <c r="B14" s="7"/>
      <c r="C14" s="83"/>
      <c r="D14" s="7"/>
      <c r="E14" s="7"/>
      <c r="F14" s="7"/>
      <c r="G14" s="7"/>
      <c r="H14" s="7"/>
      <c r="I14" s="7"/>
      <c r="J14" s="49"/>
      <c r="K14" s="34"/>
      <c r="L14" s="34"/>
      <c r="M14" s="34"/>
      <c r="N14" s="34"/>
      <c r="O14" s="34"/>
      <c r="P14" s="34"/>
      <c r="Q14" s="34"/>
      <c r="R14" s="34"/>
      <c r="S14" s="34"/>
      <c r="T14" s="34"/>
      <c r="U14" s="34"/>
      <c r="V14" s="34"/>
      <c r="W14" s="34"/>
      <c r="X14" s="34"/>
      <c r="Y14" s="34"/>
      <c r="Z14" s="34"/>
      <c r="AA14" s="34"/>
    </row>
    <row r="15" spans="1:27">
      <c r="A15" s="7"/>
      <c r="B15" s="7"/>
      <c r="C15" s="83"/>
      <c r="D15" s="7"/>
      <c r="E15" s="7"/>
      <c r="F15" s="7"/>
      <c r="G15" s="7"/>
      <c r="H15" s="7"/>
      <c r="I15" s="7"/>
      <c r="J15" s="48"/>
      <c r="K15" s="7"/>
      <c r="L15" s="7"/>
      <c r="M15" s="7"/>
      <c r="N15" s="7"/>
      <c r="O15" s="7"/>
      <c r="P15" s="7"/>
      <c r="Q15" s="7"/>
      <c r="R15" s="7"/>
      <c r="S15" s="7"/>
      <c r="T15" s="7"/>
      <c r="U15" s="7"/>
      <c r="V15" s="7"/>
      <c r="W15" s="7"/>
      <c r="X15" s="7"/>
      <c r="Y15" s="7"/>
      <c r="Z15" s="7"/>
      <c r="AA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J974" s="50"/>
      <c r="K974" s="7"/>
      <c r="L974" s="7"/>
      <c r="M974" s="7"/>
      <c r="N974" s="7"/>
      <c r="O974" s="7"/>
      <c r="P974" s="7"/>
      <c r="Q974" s="7"/>
      <c r="R974" s="7"/>
      <c r="S974" s="7"/>
      <c r="T974" s="7"/>
      <c r="U974" s="7"/>
      <c r="V974" s="7"/>
      <c r="W974" s="7"/>
      <c r="X974" s="7"/>
      <c r="Y974" s="7"/>
      <c r="Z974" s="7"/>
      <c r="AA974" s="7"/>
    </row>
    <row r="975" spans="1:27">
      <c r="J975" s="50"/>
      <c r="K975" s="7"/>
      <c r="L975" s="7"/>
      <c r="M975" s="7"/>
      <c r="N975" s="7"/>
      <c r="O975" s="7"/>
      <c r="P975" s="7"/>
      <c r="Q975" s="7"/>
      <c r="R975" s="7"/>
      <c r="S975" s="7"/>
      <c r="T975" s="7"/>
      <c r="U975" s="7"/>
      <c r="V975" s="7"/>
      <c r="W975" s="7"/>
      <c r="X975" s="7"/>
      <c r="Y975" s="7"/>
      <c r="Z975" s="7"/>
      <c r="AA975" s="7"/>
    </row>
    <row r="976" spans="1:27">
      <c r="J976" s="50"/>
      <c r="K976" s="7"/>
      <c r="L976" s="7"/>
      <c r="M976" s="7"/>
      <c r="N976" s="7"/>
      <c r="O976" s="7"/>
      <c r="P976" s="7"/>
      <c r="Q976" s="7"/>
      <c r="R976" s="7"/>
      <c r="S976" s="7"/>
      <c r="T976" s="7"/>
      <c r="U976" s="7"/>
      <c r="V976" s="7"/>
      <c r="W976" s="7"/>
      <c r="X976" s="7"/>
      <c r="Y976" s="7"/>
      <c r="Z976" s="7"/>
      <c r="AA976" s="7"/>
    </row>
    <row r="977" spans="10:27">
      <c r="J977" s="50"/>
      <c r="K977" s="7"/>
      <c r="L977" s="7"/>
      <c r="M977" s="7"/>
      <c r="N977" s="7"/>
      <c r="O977" s="7"/>
      <c r="P977" s="7"/>
      <c r="Q977" s="7"/>
      <c r="R977" s="7"/>
      <c r="S977" s="7"/>
      <c r="T977" s="7"/>
      <c r="U977" s="7"/>
      <c r="V977" s="7"/>
      <c r="W977" s="7"/>
      <c r="X977" s="7"/>
      <c r="Y977" s="7"/>
      <c r="Z977" s="7"/>
      <c r="AA977" s="7"/>
    </row>
    <row r="978" spans="10:27">
      <c r="J978" s="50"/>
      <c r="K978" s="7"/>
      <c r="L978" s="7"/>
      <c r="M978" s="7"/>
      <c r="N978" s="7"/>
      <c r="O978" s="7"/>
      <c r="P978" s="7"/>
      <c r="Q978" s="7"/>
      <c r="R978" s="7"/>
      <c r="S978" s="7"/>
      <c r="T978" s="7"/>
      <c r="U978" s="7"/>
      <c r="V978" s="7"/>
      <c r="W978" s="7"/>
      <c r="X978" s="7"/>
      <c r="Y978" s="7"/>
      <c r="Z978" s="7"/>
      <c r="AA978" s="7"/>
    </row>
    <row r="979" spans="10:27">
      <c r="J979" s="50"/>
      <c r="K979" s="7"/>
      <c r="L979" s="7"/>
      <c r="M979" s="7"/>
      <c r="N979" s="7"/>
      <c r="O979" s="7"/>
      <c r="P979" s="7"/>
      <c r="Q979" s="7"/>
      <c r="R979" s="7"/>
      <c r="S979" s="7"/>
      <c r="T979" s="7"/>
      <c r="U979" s="7"/>
      <c r="V979" s="7"/>
      <c r="W979" s="7"/>
      <c r="X979" s="7"/>
      <c r="Y979" s="7"/>
      <c r="Z979" s="7"/>
      <c r="AA979" s="7"/>
    </row>
    <row r="980" spans="10:27">
      <c r="J980" s="50"/>
      <c r="K980" s="7"/>
      <c r="L980" s="7"/>
      <c r="M980" s="7"/>
      <c r="N980" s="7"/>
      <c r="O980" s="7"/>
      <c r="P980" s="7"/>
      <c r="Q980" s="7"/>
      <c r="R980" s="7"/>
      <c r="S980" s="7"/>
      <c r="T980" s="7"/>
      <c r="U980" s="7"/>
      <c r="V980" s="7"/>
      <c r="W980" s="7"/>
      <c r="X980" s="7"/>
      <c r="Y980" s="7"/>
      <c r="Z980" s="7"/>
      <c r="AA980" s="7"/>
    </row>
    <row r="981" spans="10:27">
      <c r="J981" s="50"/>
      <c r="K981" s="7"/>
      <c r="L981" s="7"/>
      <c r="M981" s="7"/>
      <c r="N981" s="7"/>
      <c r="O981" s="7"/>
      <c r="P981" s="7"/>
      <c r="Q981" s="7"/>
      <c r="R981" s="7"/>
      <c r="S981" s="7"/>
      <c r="T981" s="7"/>
      <c r="U981" s="7"/>
      <c r="V981" s="7"/>
      <c r="W981" s="7"/>
      <c r="X981" s="7"/>
      <c r="Y981" s="7"/>
      <c r="Z981" s="7"/>
      <c r="AA981" s="7"/>
    </row>
    <row r="982" spans="10:27">
      <c r="J982" s="50"/>
      <c r="K982" s="7"/>
      <c r="L982" s="7"/>
      <c r="M982" s="7"/>
      <c r="N982" s="7"/>
      <c r="O982" s="7"/>
      <c r="P982" s="7"/>
      <c r="Q982" s="7"/>
      <c r="R982" s="7"/>
      <c r="S982" s="7"/>
      <c r="T982" s="7"/>
      <c r="U982" s="7"/>
      <c r="V982" s="7"/>
      <c r="W982" s="7"/>
      <c r="X982" s="7"/>
      <c r="Y982" s="7"/>
      <c r="Z982" s="7"/>
      <c r="AA982" s="7"/>
    </row>
    <row r="983" spans="10:27">
      <c r="J983" s="50"/>
      <c r="K983" s="7"/>
      <c r="L983" s="7"/>
      <c r="M983" s="7"/>
      <c r="N983" s="7"/>
      <c r="O983" s="7"/>
      <c r="P983" s="7"/>
      <c r="Q983" s="7"/>
      <c r="R983" s="7"/>
      <c r="S983" s="7"/>
      <c r="T983" s="7"/>
      <c r="U983" s="7"/>
      <c r="V983" s="7"/>
      <c r="W983" s="7"/>
      <c r="X983" s="7"/>
      <c r="Y983" s="7"/>
      <c r="Z983" s="7"/>
      <c r="AA983" s="7"/>
    </row>
    <row r="984" spans="10:27">
      <c r="J984" s="50"/>
      <c r="K984" s="7"/>
      <c r="L984" s="7"/>
      <c r="M984" s="7"/>
      <c r="N984" s="7"/>
      <c r="O984" s="7"/>
      <c r="P984" s="7"/>
      <c r="Q984" s="7"/>
      <c r="R984" s="7"/>
      <c r="S984" s="7"/>
      <c r="T984" s="7"/>
      <c r="U984" s="7"/>
      <c r="V984" s="7"/>
      <c r="W984" s="7"/>
      <c r="X984" s="7"/>
      <c r="Y984" s="7"/>
      <c r="Z984" s="7"/>
      <c r="AA984" s="7"/>
    </row>
    <row r="985" spans="10:27">
      <c r="J985" s="50"/>
      <c r="K985" s="7"/>
      <c r="L985" s="7"/>
      <c r="M985" s="7"/>
      <c r="N985" s="7"/>
      <c r="O985" s="7"/>
      <c r="P985" s="7"/>
      <c r="Q985" s="7"/>
      <c r="R985" s="7"/>
      <c r="S985" s="7"/>
      <c r="T985" s="7"/>
      <c r="U985" s="7"/>
      <c r="V985" s="7"/>
      <c r="W985" s="7"/>
      <c r="X985" s="7"/>
      <c r="Y985" s="7"/>
      <c r="Z985" s="7"/>
      <c r="AA985" s="7"/>
    </row>
    <row r="986" spans="10:27">
      <c r="J986" s="50"/>
      <c r="K986" s="7"/>
      <c r="L986" s="7"/>
      <c r="M986" s="7"/>
      <c r="N986" s="7"/>
      <c r="O986" s="7"/>
      <c r="P986" s="7"/>
      <c r="Q986" s="7"/>
      <c r="R986" s="7"/>
      <c r="S986" s="7"/>
      <c r="T986" s="7"/>
      <c r="U986" s="7"/>
      <c r="V986" s="7"/>
      <c r="W986" s="7"/>
      <c r="X986" s="7"/>
      <c r="Y986" s="7"/>
      <c r="Z986" s="7"/>
      <c r="AA986" s="7"/>
    </row>
    <row r="987" spans="10:27">
      <c r="J987" s="50"/>
      <c r="K987" s="7"/>
      <c r="L987" s="7"/>
      <c r="M987" s="7"/>
      <c r="N987" s="7"/>
      <c r="O987" s="7"/>
      <c r="P987" s="7"/>
      <c r="Q987" s="7"/>
      <c r="R987" s="7"/>
      <c r="S987" s="7"/>
      <c r="T987" s="7"/>
      <c r="U987" s="7"/>
      <c r="V987" s="7"/>
      <c r="W987" s="7"/>
      <c r="X987" s="7"/>
      <c r="Y987" s="7"/>
      <c r="Z987" s="7"/>
      <c r="AA987" s="7"/>
    </row>
    <row r="988" spans="10:27">
      <c r="J988" s="50"/>
      <c r="K988" s="7"/>
      <c r="L988" s="7"/>
      <c r="M988" s="7"/>
      <c r="N988" s="7"/>
      <c r="O988" s="7"/>
      <c r="P988" s="7"/>
      <c r="Q988" s="7"/>
      <c r="R988" s="7"/>
      <c r="S988" s="7"/>
      <c r="T988" s="7"/>
      <c r="U988" s="7"/>
      <c r="V988" s="7"/>
      <c r="W988" s="7"/>
      <c r="X988" s="7"/>
      <c r="Y988" s="7"/>
      <c r="Z988" s="7"/>
      <c r="AA988" s="7"/>
    </row>
    <row r="989" spans="10:27">
      <c r="J989" s="50"/>
      <c r="K989" s="7"/>
      <c r="L989" s="7"/>
      <c r="M989" s="7"/>
      <c r="N989" s="7"/>
      <c r="O989" s="7"/>
      <c r="P989" s="7"/>
      <c r="Q989" s="7"/>
      <c r="R989" s="7"/>
      <c r="S989" s="7"/>
      <c r="T989" s="7"/>
      <c r="U989" s="7"/>
      <c r="V989" s="7"/>
      <c r="W989" s="7"/>
      <c r="X989" s="7"/>
      <c r="Y989" s="7"/>
      <c r="Z989" s="7"/>
      <c r="AA989" s="7"/>
    </row>
    <row r="990" spans="10:27">
      <c r="J990" s="50"/>
      <c r="K990" s="7"/>
      <c r="L990" s="7"/>
      <c r="M990" s="7"/>
      <c r="N990" s="7"/>
      <c r="O990" s="7"/>
      <c r="P990" s="7"/>
      <c r="Q990" s="7"/>
      <c r="R990" s="7"/>
      <c r="S990" s="7"/>
      <c r="T990" s="7"/>
      <c r="U990" s="7"/>
      <c r="V990" s="7"/>
      <c r="W990" s="7"/>
      <c r="X990" s="7"/>
      <c r="Y990" s="7"/>
      <c r="Z990" s="7"/>
      <c r="AA990" s="7"/>
    </row>
    <row r="991" spans="10:27">
      <c r="J991" s="50"/>
      <c r="K991" s="7"/>
      <c r="L991" s="7"/>
      <c r="M991" s="7"/>
      <c r="N991" s="7"/>
      <c r="O991" s="7"/>
      <c r="P991" s="7"/>
      <c r="Q991" s="7"/>
      <c r="R991" s="7"/>
      <c r="S991" s="7"/>
      <c r="T991" s="7"/>
      <c r="U991" s="7"/>
      <c r="V991" s="7"/>
      <c r="W991" s="7"/>
      <c r="X991" s="7"/>
      <c r="Y991" s="7"/>
      <c r="Z991" s="7"/>
      <c r="AA991" s="7"/>
    </row>
    <row r="992" spans="10: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2:G116 F8:F12">
      <formula1>$K$2:$K$6</formula1>
    </dataValidation>
  </dataValidations>
  <pageMargins left="0.7" right="0.7" top="0.75" bottom="0.75" header="0" footer="0"/>
  <pageSetup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7" workbookViewId="0">
      <selection activeCell="D6" sqref="D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160</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156</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5</v>
      </c>
      <c r="C6" s="41">
        <f>COUNTIF($F$8:$F$971,K3)</f>
        <v>2</v>
      </c>
      <c r="D6" s="41">
        <f>COUNTIF($F$8:$F$971,K5)</f>
        <v>0</v>
      </c>
      <c r="E6" s="41">
        <f>COUNTIF($F$8:$F$971,K4)</f>
        <v>0</v>
      </c>
      <c r="F6" s="41">
        <f>COUNTIF($F$8:$F$971,K6)</f>
        <v>0</v>
      </c>
      <c r="G6" s="117">
        <f>COUNTA(A9:A977)</f>
        <v>7</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51">
      <c r="A9" s="80" t="str">
        <f>IF(OR(B9&lt;&gt;"",D9&lt;&gt;""),"["&amp;TEXT($B$2,"##")&amp;"-"&amp;TEXT(ROW()-8,"##")&amp;"]","")</f>
        <v>[USR_UPTDATE-1]</v>
      </c>
      <c r="B9" s="81" t="s">
        <v>86</v>
      </c>
      <c r="C9" t="s">
        <v>87</v>
      </c>
      <c r="D9" s="52" t="s">
        <v>94</v>
      </c>
      <c r="E9" s="52" t="s">
        <v>88</v>
      </c>
      <c r="F9" s="51" t="s">
        <v>20</v>
      </c>
      <c r="G9" s="48"/>
      <c r="H9" s="7"/>
      <c r="I9" s="7"/>
      <c r="J9" s="7"/>
      <c r="K9" s="7"/>
      <c r="L9" s="7"/>
      <c r="M9" s="7"/>
      <c r="N9" s="7"/>
      <c r="O9" s="7"/>
      <c r="P9" s="7"/>
      <c r="Q9" s="7"/>
      <c r="R9" s="7"/>
      <c r="S9" s="7"/>
      <c r="T9" s="7"/>
      <c r="U9" s="7"/>
      <c r="V9" s="7"/>
      <c r="W9" s="7"/>
      <c r="X9" s="7"/>
    </row>
    <row r="10" spans="1:27" ht="76.5">
      <c r="A10" s="80" t="str">
        <f t="shared" ref="A10:A15" si="0">IF(OR(B10&lt;&gt;"",D10&lt;&gt;""),"["&amp;TEXT($B$2,"##")&amp;"-"&amp;TEXT(ROW()-8,"##")&amp;"]","")</f>
        <v>[USR_UPTDATE-2]</v>
      </c>
      <c r="B10" s="81" t="s">
        <v>89</v>
      </c>
      <c r="C10" t="s">
        <v>90</v>
      </c>
      <c r="D10" s="52" t="s">
        <v>95</v>
      </c>
      <c r="E10" s="52" t="s">
        <v>91</v>
      </c>
      <c r="F10" s="51" t="s">
        <v>20</v>
      </c>
      <c r="G10" s="48"/>
      <c r="H10" s="7"/>
      <c r="I10" s="7"/>
      <c r="J10" s="7"/>
      <c r="K10" s="7"/>
      <c r="L10" s="7"/>
      <c r="M10" s="7"/>
      <c r="N10" s="7"/>
      <c r="O10" s="7"/>
      <c r="P10" s="7"/>
      <c r="Q10" s="7"/>
      <c r="R10" s="7"/>
      <c r="S10" s="7"/>
      <c r="T10" s="7"/>
      <c r="U10" s="7"/>
      <c r="V10" s="7"/>
      <c r="W10" s="7"/>
      <c r="X10" s="7"/>
    </row>
    <row r="11" spans="1:27" ht="51">
      <c r="A11" s="80" t="str">
        <f t="shared" si="0"/>
        <v>[USR_UPTDATE-3]</v>
      </c>
      <c r="B11" s="81" t="s">
        <v>92</v>
      </c>
      <c r="C11" t="s">
        <v>93</v>
      </c>
      <c r="D11" s="52" t="s">
        <v>96</v>
      </c>
      <c r="E11" s="52" t="s">
        <v>97</v>
      </c>
      <c r="F11" s="51" t="s">
        <v>22</v>
      </c>
      <c r="G11" s="49"/>
      <c r="H11" s="34"/>
      <c r="I11" s="34"/>
      <c r="J11" s="34"/>
      <c r="K11" s="34"/>
      <c r="L11" s="34"/>
      <c r="M11" s="34"/>
      <c r="N11" s="34"/>
      <c r="O11" s="34"/>
      <c r="P11" s="34"/>
      <c r="Q11" s="34"/>
      <c r="R11" s="34"/>
      <c r="S11" s="34"/>
      <c r="T11" s="34"/>
      <c r="U11" s="34"/>
      <c r="V11" s="34"/>
      <c r="W11" s="34"/>
      <c r="X11" s="34"/>
    </row>
    <row r="12" spans="1:27" ht="38.25">
      <c r="A12" s="80" t="str">
        <f t="shared" si="0"/>
        <v>[USR_UPTDATE-4]</v>
      </c>
      <c r="B12" s="81" t="s">
        <v>98</v>
      </c>
      <c r="C12" t="s">
        <v>99</v>
      </c>
      <c r="D12" s="52" t="s">
        <v>100</v>
      </c>
      <c r="E12" s="52" t="s">
        <v>101</v>
      </c>
      <c r="F12" s="51" t="s">
        <v>22</v>
      </c>
      <c r="G12" s="48"/>
      <c r="H12" s="7"/>
      <c r="I12" s="7"/>
      <c r="J12" s="7"/>
      <c r="K12" s="7"/>
      <c r="L12" s="7"/>
      <c r="M12" s="7"/>
      <c r="N12" s="7"/>
      <c r="O12" s="7"/>
      <c r="P12" s="7"/>
      <c r="Q12" s="7"/>
      <c r="R12" s="7"/>
      <c r="S12" s="7"/>
      <c r="T12" s="7"/>
      <c r="U12" s="7"/>
      <c r="V12" s="7"/>
      <c r="W12" s="7"/>
      <c r="X12" s="7"/>
    </row>
    <row r="13" spans="1:27" ht="51">
      <c r="A13" s="80" t="str">
        <f t="shared" si="0"/>
        <v>[USR_UPTDATE-5]</v>
      </c>
      <c r="B13" s="81" t="s">
        <v>102</v>
      </c>
      <c r="C13" t="s">
        <v>103</v>
      </c>
      <c r="D13" s="52" t="s">
        <v>104</v>
      </c>
      <c r="E13" s="52" t="s">
        <v>88</v>
      </c>
      <c r="F13" s="51" t="s">
        <v>20</v>
      </c>
      <c r="G13" s="50"/>
      <c r="H13" s="7"/>
      <c r="I13" s="7"/>
      <c r="J13" s="7"/>
      <c r="K13" s="7"/>
      <c r="L13" s="7"/>
      <c r="M13" s="7"/>
      <c r="N13" s="7"/>
      <c r="O13" s="7"/>
      <c r="P13" s="7"/>
      <c r="Q13" s="7"/>
      <c r="R13" s="7"/>
      <c r="S13" s="7"/>
      <c r="T13" s="7"/>
      <c r="U13" s="7"/>
      <c r="V13" s="7"/>
      <c r="W13" s="7"/>
      <c r="X13" s="7"/>
    </row>
    <row r="14" spans="1:27" ht="38.25">
      <c r="A14" s="80" t="str">
        <f t="shared" si="0"/>
        <v>[USR_UPTDATE-6]</v>
      </c>
      <c r="B14" s="81" t="s">
        <v>105</v>
      </c>
      <c r="C14" t="s">
        <v>106</v>
      </c>
      <c r="D14" s="52" t="s">
        <v>107</v>
      </c>
      <c r="E14" s="52" t="s">
        <v>108</v>
      </c>
      <c r="F14" s="51" t="s">
        <v>20</v>
      </c>
      <c r="G14" s="49"/>
      <c r="H14" s="34"/>
      <c r="I14" s="34"/>
      <c r="J14" s="34"/>
      <c r="K14" s="34"/>
      <c r="L14" s="34"/>
      <c r="M14" s="34"/>
      <c r="N14" s="34"/>
      <c r="O14" s="34"/>
      <c r="P14" s="34"/>
      <c r="Q14" s="34"/>
      <c r="R14" s="34"/>
      <c r="S14" s="34"/>
      <c r="T14" s="34"/>
      <c r="U14" s="34"/>
      <c r="V14" s="34"/>
      <c r="W14" s="34"/>
      <c r="X14" s="34"/>
    </row>
    <row r="15" spans="1:27" ht="63.75">
      <c r="A15" s="80" t="str">
        <f t="shared" si="0"/>
        <v>[USR_UPTDATE-7]</v>
      </c>
      <c r="B15" s="81" t="s">
        <v>109</v>
      </c>
      <c r="C15" t="s">
        <v>93</v>
      </c>
      <c r="D15" s="52" t="s">
        <v>110</v>
      </c>
      <c r="E15" s="52" t="s">
        <v>111</v>
      </c>
      <c r="F15" s="51" t="s">
        <v>20</v>
      </c>
      <c r="G15" s="48"/>
      <c r="H15" s="7"/>
      <c r="I15" s="7"/>
      <c r="J15" s="7"/>
      <c r="K15" s="7"/>
      <c r="L15" s="7"/>
      <c r="M15" s="7"/>
      <c r="N15" s="7"/>
      <c r="O15" s="7"/>
      <c r="P15" s="7"/>
      <c r="Q15" s="7"/>
      <c r="R15" s="7"/>
      <c r="S15" s="7"/>
      <c r="T15" s="7"/>
      <c r="U15" s="7"/>
      <c r="V15" s="7"/>
      <c r="W15" s="7"/>
      <c r="X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J978" s="50"/>
      <c r="K978" s="7"/>
      <c r="L978" s="7"/>
      <c r="M978" s="7"/>
      <c r="N978" s="7"/>
      <c r="O978" s="7"/>
      <c r="P978" s="7"/>
      <c r="Q978" s="7"/>
      <c r="R978" s="7"/>
      <c r="S978" s="7"/>
      <c r="T978" s="7"/>
      <c r="U978" s="7"/>
      <c r="V978" s="7"/>
      <c r="W978" s="7"/>
      <c r="X978" s="7"/>
      <c r="Y978" s="7"/>
      <c r="Z978" s="7"/>
      <c r="AA978" s="7"/>
    </row>
    <row r="979" spans="1:2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5 G16:G120">
      <formula1>$K$2:$K$6</formula1>
    </dataValidation>
  </dataValidations>
  <pageMargins left="0.7" right="0.7" top="0.75" bottom="0.75" header="0" footer="0"/>
  <pageSetup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1" workbookViewId="0">
      <selection activeCell="D6" sqref="D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112" t="s">
        <v>161</v>
      </c>
      <c r="C2" s="113"/>
      <c r="D2" s="101"/>
      <c r="E2" s="101"/>
      <c r="F2" s="101"/>
      <c r="G2" s="101"/>
      <c r="H2" s="101"/>
      <c r="I2" s="102"/>
      <c r="J2" s="33"/>
      <c r="K2" s="34" t="s">
        <v>20</v>
      </c>
      <c r="L2" s="34"/>
      <c r="M2" s="34"/>
      <c r="N2" s="34"/>
      <c r="O2" s="34"/>
      <c r="P2" s="34"/>
      <c r="Q2" s="34"/>
      <c r="R2" s="34"/>
      <c r="S2" s="34"/>
      <c r="T2" s="34"/>
      <c r="U2" s="34"/>
      <c r="V2" s="34"/>
      <c r="W2" s="34"/>
      <c r="X2" s="34"/>
      <c r="Y2" s="34"/>
      <c r="Z2" s="34"/>
      <c r="AA2" s="34"/>
    </row>
    <row r="3" spans="1:27">
      <c r="A3" s="36" t="s">
        <v>21</v>
      </c>
      <c r="B3" s="114"/>
      <c r="C3" s="115"/>
      <c r="D3" s="101"/>
      <c r="E3" s="101"/>
      <c r="F3" s="101"/>
      <c r="G3" s="101"/>
      <c r="H3" s="101"/>
      <c r="I3" s="102"/>
      <c r="J3" s="33"/>
      <c r="K3" s="34" t="s">
        <v>22</v>
      </c>
      <c r="L3" s="34"/>
      <c r="M3" s="34"/>
      <c r="N3" s="34"/>
      <c r="O3" s="34"/>
      <c r="P3" s="34"/>
      <c r="Q3" s="34"/>
      <c r="R3" s="34"/>
      <c r="S3" s="34"/>
      <c r="T3" s="34"/>
      <c r="U3" s="34"/>
      <c r="V3" s="34"/>
      <c r="W3" s="34"/>
      <c r="X3" s="34"/>
      <c r="Y3" s="34"/>
      <c r="Z3" s="34"/>
      <c r="AA3" s="34"/>
    </row>
    <row r="4" spans="1:27">
      <c r="A4" s="35" t="s">
        <v>23</v>
      </c>
      <c r="B4" s="114" t="s">
        <v>156</v>
      </c>
      <c r="C4" s="115"/>
      <c r="D4" s="101"/>
      <c r="E4" s="101"/>
      <c r="F4" s="101"/>
      <c r="G4" s="101"/>
      <c r="H4" s="101"/>
      <c r="I4" s="102"/>
      <c r="J4" s="33"/>
      <c r="K4" s="34" t="s">
        <v>24</v>
      </c>
      <c r="L4" s="34"/>
      <c r="M4" s="34"/>
      <c r="N4" s="34"/>
      <c r="O4" s="34"/>
      <c r="P4" s="34"/>
      <c r="Q4" s="34"/>
      <c r="R4" s="34"/>
      <c r="S4" s="34"/>
      <c r="T4" s="34"/>
      <c r="U4" s="34"/>
      <c r="V4" s="34"/>
      <c r="W4" s="34"/>
      <c r="X4" s="34"/>
      <c r="Y4" s="34"/>
      <c r="Z4" s="34"/>
      <c r="AA4" s="34"/>
    </row>
    <row r="5" spans="1:27" ht="15" customHeight="1">
      <c r="A5" s="37"/>
      <c r="B5" s="93" t="s">
        <v>20</v>
      </c>
      <c r="C5" s="38" t="s">
        <v>22</v>
      </c>
      <c r="D5" s="38" t="s">
        <v>25</v>
      </c>
      <c r="E5" s="38" t="s">
        <v>24</v>
      </c>
      <c r="F5" s="39" t="s">
        <v>26</v>
      </c>
      <c r="G5" s="116" t="s">
        <v>27</v>
      </c>
      <c r="H5" s="101"/>
      <c r="I5" s="102"/>
      <c r="J5" s="40"/>
      <c r="K5" s="34" t="s">
        <v>25</v>
      </c>
      <c r="L5" s="34"/>
      <c r="M5" s="34"/>
      <c r="N5" s="34"/>
      <c r="O5" s="34"/>
      <c r="P5" s="34"/>
      <c r="Q5" s="34"/>
      <c r="R5" s="34"/>
      <c r="S5" s="34"/>
      <c r="T5" s="34"/>
      <c r="U5" s="34"/>
      <c r="V5" s="34"/>
      <c r="W5" s="34"/>
      <c r="X5" s="34"/>
      <c r="Y5" s="34"/>
      <c r="Z5" s="34"/>
      <c r="AA5" s="34"/>
    </row>
    <row r="6" spans="1:27" ht="15.75" thickBot="1">
      <c r="A6" s="41"/>
      <c r="B6" s="41">
        <f>COUNTIF($F$8:$F$971,K2)</f>
        <v>9</v>
      </c>
      <c r="C6" s="41">
        <f>COUNTIF($F$8:$F$971,K3)</f>
        <v>1</v>
      </c>
      <c r="D6" s="41">
        <f>COUNTIF($F$8:$F$971,K5)</f>
        <v>0</v>
      </c>
      <c r="E6" s="41">
        <f>COUNTIF($F$8:$F$971,K4)</f>
        <v>0</v>
      </c>
      <c r="F6" s="41">
        <f>COUNTIF($F$8:$F$971,K6)</f>
        <v>0</v>
      </c>
      <c r="G6" s="117">
        <f>COUNTA(A9:A977)</f>
        <v>10</v>
      </c>
      <c r="H6" s="101"/>
      <c r="I6" s="102"/>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25.5">
      <c r="A9" s="80" t="str">
        <f>IF(OR(B9&lt;&gt;"",D9&lt;&gt;""),"["&amp;TEXT($B$2,"##")&amp;"-"&amp;TEXT(ROW()-8,"##")&amp;"]","")</f>
        <v>[USR_Pay-1]</v>
      </c>
      <c r="B9" s="81" t="s">
        <v>112</v>
      </c>
      <c r="C9" t="s">
        <v>113</v>
      </c>
      <c r="D9" s="52" t="s">
        <v>114</v>
      </c>
      <c r="E9" s="52" t="s">
        <v>115</v>
      </c>
      <c r="F9" s="51" t="s">
        <v>20</v>
      </c>
      <c r="G9" s="48"/>
      <c r="H9" s="7"/>
      <c r="I9" s="7"/>
      <c r="J9" s="7"/>
      <c r="K9" s="7"/>
      <c r="L9" s="7"/>
      <c r="M9" s="7"/>
      <c r="N9" s="7"/>
      <c r="O9" s="7"/>
      <c r="P9" s="7"/>
      <c r="Q9" s="7"/>
      <c r="R9" s="7"/>
      <c r="S9" s="7"/>
      <c r="T9" s="7"/>
      <c r="U9" s="7"/>
      <c r="V9" s="7"/>
      <c r="W9" s="7"/>
      <c r="X9" s="7"/>
    </row>
    <row r="10" spans="1:27" ht="38.25">
      <c r="A10" s="80" t="str">
        <f t="shared" ref="A10:A18" si="0">IF(OR(B10&lt;&gt;"",D10&lt;&gt;""),"["&amp;TEXT($B$2,"##")&amp;"-"&amp;TEXT(ROW()-8,"##")&amp;"]","")</f>
        <v>[USR_Pay-2]</v>
      </c>
      <c r="B10" s="81" t="s">
        <v>116</v>
      </c>
      <c r="C10" t="s">
        <v>117</v>
      </c>
      <c r="D10" s="52" t="s">
        <v>118</v>
      </c>
      <c r="E10" s="52" t="s">
        <v>119</v>
      </c>
      <c r="F10" s="51" t="s">
        <v>20</v>
      </c>
      <c r="G10" s="48"/>
      <c r="H10" s="7"/>
      <c r="I10" s="7"/>
      <c r="J10" s="7"/>
      <c r="K10" s="7"/>
      <c r="L10" s="7"/>
      <c r="M10" s="7"/>
      <c r="N10" s="7"/>
      <c r="O10" s="7"/>
      <c r="P10" s="7"/>
      <c r="Q10" s="7"/>
      <c r="R10" s="7"/>
      <c r="S10" s="7"/>
      <c r="T10" s="7"/>
      <c r="U10" s="7"/>
      <c r="V10" s="7"/>
      <c r="W10" s="7"/>
      <c r="X10" s="7"/>
    </row>
    <row r="11" spans="1:27" ht="38.25">
      <c r="A11" s="80" t="str">
        <f t="shared" si="0"/>
        <v>[USR_Pay-3]</v>
      </c>
      <c r="B11" s="81" t="s">
        <v>123</v>
      </c>
      <c r="C11" t="s">
        <v>122</v>
      </c>
      <c r="D11" s="52" t="s">
        <v>121</v>
      </c>
      <c r="E11" s="52" t="s">
        <v>120</v>
      </c>
      <c r="F11" s="51" t="s">
        <v>20</v>
      </c>
      <c r="G11" s="49"/>
      <c r="H11" s="34"/>
      <c r="I11" s="34"/>
      <c r="J11" s="34"/>
      <c r="K11" s="34"/>
      <c r="L11" s="34"/>
      <c r="M11" s="34"/>
      <c r="N11" s="34"/>
      <c r="O11" s="34"/>
      <c r="P11" s="34"/>
      <c r="Q11" s="34"/>
      <c r="R11" s="34"/>
      <c r="S11" s="34"/>
      <c r="T11" s="34"/>
      <c r="U11" s="34"/>
      <c r="V11" s="34"/>
      <c r="W11" s="34"/>
      <c r="X11" s="34"/>
    </row>
    <row r="12" spans="1:27" ht="38.25">
      <c r="A12" s="80" t="str">
        <f t="shared" si="0"/>
        <v>[USR_Pay-4]</v>
      </c>
      <c r="B12" s="81" t="s">
        <v>124</v>
      </c>
      <c r="C12" t="s">
        <v>125</v>
      </c>
      <c r="D12" s="52" t="s">
        <v>121</v>
      </c>
      <c r="E12" s="52" t="s">
        <v>126</v>
      </c>
      <c r="F12" s="51" t="s">
        <v>20</v>
      </c>
      <c r="G12" s="48"/>
      <c r="H12" s="7"/>
      <c r="I12" s="7"/>
      <c r="J12" s="7"/>
      <c r="K12" s="7"/>
      <c r="L12" s="7"/>
      <c r="M12" s="7"/>
      <c r="N12" s="7"/>
      <c r="O12" s="7"/>
      <c r="P12" s="7"/>
      <c r="Q12" s="7"/>
      <c r="R12" s="7"/>
      <c r="S12" s="7"/>
      <c r="T12" s="7"/>
      <c r="U12" s="7"/>
      <c r="V12" s="7"/>
      <c r="W12" s="7"/>
      <c r="X12" s="7"/>
    </row>
    <row r="13" spans="1:27" ht="76.5">
      <c r="A13" s="80" t="str">
        <f t="shared" si="0"/>
        <v>[USR_Pay-5]</v>
      </c>
      <c r="B13" s="81" t="s">
        <v>127</v>
      </c>
      <c r="C13" t="s">
        <v>128</v>
      </c>
      <c r="D13" s="52" t="s">
        <v>130</v>
      </c>
      <c r="E13" s="52" t="s">
        <v>129</v>
      </c>
      <c r="F13" s="51" t="s">
        <v>20</v>
      </c>
      <c r="G13" s="50"/>
      <c r="H13" s="7"/>
      <c r="I13" s="7"/>
      <c r="J13" s="7"/>
      <c r="K13" s="7"/>
      <c r="L13" s="7"/>
      <c r="M13" s="7"/>
      <c r="N13" s="7"/>
      <c r="O13" s="7"/>
      <c r="P13" s="7"/>
      <c r="Q13" s="7"/>
      <c r="R13" s="7"/>
      <c r="S13" s="7"/>
      <c r="T13" s="7"/>
      <c r="U13" s="7"/>
      <c r="V13" s="7"/>
      <c r="W13" s="7"/>
      <c r="X13" s="7"/>
    </row>
    <row r="14" spans="1:27" ht="89.25">
      <c r="A14" s="80" t="str">
        <f t="shared" si="0"/>
        <v>[USR_Pay-6]</v>
      </c>
      <c r="B14" s="81" t="s">
        <v>131</v>
      </c>
      <c r="C14" t="s">
        <v>93</v>
      </c>
      <c r="D14" s="52" t="s">
        <v>132</v>
      </c>
      <c r="E14" s="52" t="s">
        <v>133</v>
      </c>
      <c r="F14" s="51" t="s">
        <v>20</v>
      </c>
      <c r="G14" s="49"/>
      <c r="H14" s="34"/>
      <c r="I14" s="34"/>
      <c r="J14" s="34"/>
      <c r="K14" s="34"/>
      <c r="L14" s="34"/>
      <c r="M14" s="34"/>
      <c r="N14" s="34"/>
      <c r="O14" s="34"/>
      <c r="P14" s="34"/>
      <c r="Q14" s="34"/>
      <c r="R14" s="34"/>
      <c r="S14" s="34"/>
      <c r="T14" s="34"/>
      <c r="U14" s="34"/>
      <c r="V14" s="34"/>
      <c r="W14" s="34"/>
      <c r="X14" s="34"/>
    </row>
    <row r="15" spans="1:27" ht="89.25">
      <c r="A15" s="80" t="str">
        <f t="shared" si="0"/>
        <v>[USR_Pay-7]</v>
      </c>
      <c r="B15" s="81" t="s">
        <v>134</v>
      </c>
      <c r="C15" t="s">
        <v>93</v>
      </c>
      <c r="D15" s="52" t="s">
        <v>135</v>
      </c>
      <c r="E15" s="52" t="s">
        <v>136</v>
      </c>
      <c r="F15" s="51" t="s">
        <v>22</v>
      </c>
      <c r="G15" s="48"/>
      <c r="H15" s="7"/>
      <c r="I15" s="7"/>
      <c r="J15" s="7"/>
      <c r="K15" s="7"/>
      <c r="L15" s="7"/>
      <c r="M15" s="7"/>
      <c r="N15" s="7"/>
      <c r="O15" s="7"/>
      <c r="P15" s="7"/>
      <c r="Q15" s="7"/>
      <c r="R15" s="7"/>
      <c r="S15" s="7"/>
      <c r="T15" s="7"/>
      <c r="U15" s="7"/>
      <c r="V15" s="7"/>
      <c r="W15" s="7"/>
      <c r="X15" s="7"/>
    </row>
    <row r="16" spans="1:27" ht="89.25">
      <c r="A16" s="80" t="str">
        <f t="shared" si="0"/>
        <v>[USR_Pay-8]</v>
      </c>
      <c r="B16" s="81" t="s">
        <v>137</v>
      </c>
      <c r="C16" t="s">
        <v>93</v>
      </c>
      <c r="D16" s="52" t="s">
        <v>138</v>
      </c>
      <c r="E16" s="52" t="s">
        <v>139</v>
      </c>
      <c r="F16" s="51" t="s">
        <v>20</v>
      </c>
      <c r="G16" s="50"/>
      <c r="H16" s="7"/>
      <c r="I16" s="7"/>
      <c r="J16" s="7"/>
      <c r="K16" s="7"/>
      <c r="L16" s="7"/>
      <c r="M16" s="7"/>
      <c r="N16" s="7"/>
      <c r="O16" s="7"/>
      <c r="P16" s="7"/>
      <c r="Q16" s="7"/>
      <c r="R16" s="7"/>
      <c r="S16" s="7"/>
      <c r="T16" s="7"/>
      <c r="U16" s="7"/>
      <c r="V16" s="7"/>
      <c r="W16" s="7"/>
      <c r="X16" s="7"/>
    </row>
    <row r="17" spans="1:27" ht="63.75">
      <c r="A17" s="80" t="str">
        <f t="shared" si="0"/>
        <v>[USR_Pay-9]</v>
      </c>
      <c r="B17" s="81" t="s">
        <v>140</v>
      </c>
      <c r="C17" t="s">
        <v>93</v>
      </c>
      <c r="D17" s="52" t="s">
        <v>141</v>
      </c>
      <c r="E17" s="52" t="s">
        <v>142</v>
      </c>
      <c r="F17" s="51" t="s">
        <v>20</v>
      </c>
      <c r="G17" s="50"/>
      <c r="H17" s="7"/>
      <c r="I17" s="7"/>
      <c r="J17" s="7"/>
      <c r="K17" s="7"/>
      <c r="L17" s="7"/>
      <c r="M17" s="7"/>
      <c r="N17" s="7"/>
      <c r="O17" s="7"/>
      <c r="P17" s="7"/>
      <c r="Q17" s="7"/>
      <c r="R17" s="7"/>
      <c r="S17" s="7"/>
      <c r="T17" s="7"/>
      <c r="U17" s="7"/>
      <c r="V17" s="7"/>
      <c r="W17" s="7"/>
      <c r="X17" s="7"/>
    </row>
    <row r="18" spans="1:27" ht="89.25">
      <c r="A18" s="80" t="str">
        <f t="shared" si="0"/>
        <v>[USR_Pay-10]</v>
      </c>
      <c r="B18" s="81" t="s">
        <v>143</v>
      </c>
      <c r="C18" t="s">
        <v>93</v>
      </c>
      <c r="D18" s="52" t="s">
        <v>138</v>
      </c>
      <c r="E18" s="52" t="s">
        <v>144</v>
      </c>
      <c r="F18" s="51" t="s">
        <v>20</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G980" s="7"/>
      <c r="H980" s="7"/>
      <c r="I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3">
      <formula1>$K$2:$K$6</formula1>
    </dataValidation>
  </dataValidations>
  <pageMargins left="0.7" right="0.7" top="0.75" bottom="0.75" header="0" footer="0"/>
  <pageSetup orientation="landscape"/>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
  <sheetViews>
    <sheetView tabSelected="1" workbookViewId="0">
      <selection activeCell="D11" sqref="D11"/>
    </sheetView>
  </sheetViews>
  <sheetFormatPr defaultRowHeight="15"/>
  <cols>
    <col min="1" max="1" width="13.5703125" bestFit="1" customWidth="1"/>
    <col min="2" max="2" width="64.7109375" bestFit="1" customWidth="1"/>
    <col min="3" max="3" width="100.140625" bestFit="1" customWidth="1"/>
    <col min="4" max="4" width="79.85546875" bestFit="1" customWidth="1"/>
    <col min="5" max="5" width="120.28515625" bestFit="1" customWidth="1"/>
    <col min="6" max="6" width="10.5703125" bestFit="1" customWidth="1"/>
    <col min="7" max="7" width="9.85546875" bestFit="1" customWidth="1"/>
    <col min="8" max="8" width="8.7109375" bestFit="1" customWidth="1"/>
    <col min="9" max="9" width="13.85546875" bestFit="1" customWidth="1"/>
    <col min="10" max="10" width="34.85546875" bestFit="1" customWidth="1"/>
    <col min="11" max="12" width="11.140625" bestFit="1" customWidth="1"/>
  </cols>
  <sheetData>
    <row r="1" spans="1:12">
      <c r="A1" t="s">
        <v>197</v>
      </c>
      <c r="B1" t="s">
        <v>29</v>
      </c>
      <c r="C1" t="s">
        <v>198</v>
      </c>
      <c r="D1" t="s">
        <v>199</v>
      </c>
      <c r="E1" t="s">
        <v>200</v>
      </c>
      <c r="F1" t="s">
        <v>201</v>
      </c>
      <c r="G1" t="s">
        <v>202</v>
      </c>
      <c r="H1" t="s">
        <v>203</v>
      </c>
      <c r="I1" t="s">
        <v>204</v>
      </c>
      <c r="J1" t="s">
        <v>34</v>
      </c>
      <c r="K1" t="s">
        <v>222</v>
      </c>
      <c r="L1" t="s">
        <v>223</v>
      </c>
    </row>
    <row r="2" spans="1:12">
      <c r="A2" t="str">
        <f>'Test trải nghiệm người dùng'!A15</f>
        <v>[USR_EXP-7]</v>
      </c>
      <c r="B2" t="str">
        <f>'Test trải nghiệm người dùng'!B15</f>
        <v>Kiểm tra khi sử dụng tính năng "Mua ngay" thay vì "Thêm vào giỏ hàng"</v>
      </c>
      <c r="C2" t="s">
        <v>207</v>
      </c>
      <c r="D2" t="s">
        <v>205</v>
      </c>
      <c r="E2" t="s">
        <v>206</v>
      </c>
      <c r="F2" t="s">
        <v>208</v>
      </c>
      <c r="G2" t="s">
        <v>208</v>
      </c>
      <c r="H2" t="s">
        <v>209</v>
      </c>
      <c r="I2" t="s">
        <v>210</v>
      </c>
      <c r="J2" t="s">
        <v>211</v>
      </c>
    </row>
    <row r="3" spans="1:12">
      <c r="A3" t="str">
        <f>'Test thêm sản phẩm'!A18</f>
        <v>[USR_ADD-10]</v>
      </c>
      <c r="B3" t="str">
        <f>'Test thêm sản phẩm'!B18</f>
        <v>Thêm sản phẩm khi tài khoản bị khóa</v>
      </c>
      <c r="C3" t="s">
        <v>213</v>
      </c>
      <c r="D3" t="s">
        <v>166</v>
      </c>
      <c r="E3" t="s">
        <v>214</v>
      </c>
      <c r="F3" t="s">
        <v>215</v>
      </c>
      <c r="G3" t="s">
        <v>208</v>
      </c>
      <c r="H3" t="s">
        <v>209</v>
      </c>
      <c r="I3" t="s">
        <v>216</v>
      </c>
      <c r="J3" t="s">
        <v>217</v>
      </c>
    </row>
    <row r="4" spans="1:12">
      <c r="A4" t="str">
        <f>'Test xóa sản phẩm '!A12</f>
        <v>[USR_DEL-4]</v>
      </c>
      <c r="B4" t="str">
        <f>'Test xóa sản phẩm '!B12</f>
        <v>Xóa sản phẩm khi giỏ hàng đang đồng bộ trên nhiều thiết bị</v>
      </c>
      <c r="C4" t="s">
        <v>218</v>
      </c>
      <c r="D4" t="s">
        <v>219</v>
      </c>
      <c r="E4" t="s">
        <v>220</v>
      </c>
      <c r="F4" t="s">
        <v>208</v>
      </c>
      <c r="G4" t="s">
        <v>208</v>
      </c>
      <c r="H4" t="s">
        <v>209</v>
      </c>
      <c r="I4" t="s">
        <v>210</v>
      </c>
      <c r="J4" t="s">
        <v>221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1"/>
  <sheetViews>
    <sheetView workbookViewId="0">
      <selection activeCell="D15" sqref="D15"/>
    </sheetView>
  </sheetViews>
  <sheetFormatPr defaultColWidth="14.42578125" defaultRowHeight="15" customHeight="1"/>
  <cols>
    <col min="1" max="1" width="10.28515625" customWidth="1"/>
    <col min="2" max="2" width="15.42578125" customWidth="1"/>
    <col min="3" max="3" width="22.140625" customWidth="1"/>
    <col min="4" max="6" width="10.28515625" customWidth="1"/>
    <col min="7" max="7" width="11.28515625" customWidth="1"/>
    <col min="8" max="8" width="11.5703125" customWidth="1"/>
    <col min="9" max="9" width="30.140625" customWidth="1"/>
    <col min="10" max="26" width="11.42578125" customWidth="1"/>
  </cols>
  <sheetData>
    <row r="1" spans="1:26" ht="25.5" customHeight="1">
      <c r="A1" s="7"/>
      <c r="B1" s="121" t="s">
        <v>33</v>
      </c>
      <c r="C1" s="122"/>
      <c r="D1" s="122"/>
      <c r="E1" s="122"/>
      <c r="F1" s="122"/>
      <c r="G1" s="122"/>
      <c r="H1" s="123"/>
      <c r="I1" s="7"/>
      <c r="J1" s="7"/>
      <c r="K1" s="7"/>
      <c r="L1" s="7"/>
      <c r="M1" s="7"/>
      <c r="N1" s="7"/>
      <c r="O1" s="7"/>
      <c r="P1" s="7"/>
      <c r="Q1" s="7"/>
      <c r="R1" s="7"/>
      <c r="S1" s="7"/>
      <c r="T1" s="7"/>
      <c r="U1" s="7"/>
      <c r="V1" s="7"/>
      <c r="W1" s="7"/>
      <c r="X1" s="7"/>
      <c r="Y1" s="7"/>
      <c r="Z1" s="7"/>
    </row>
    <row r="2" spans="1:26" ht="14.25" customHeight="1">
      <c r="A2" s="53"/>
      <c r="B2" s="53"/>
      <c r="C2" s="7"/>
      <c r="D2" s="7"/>
      <c r="E2" s="7"/>
      <c r="F2" s="7"/>
      <c r="G2" s="7"/>
      <c r="H2" s="54"/>
      <c r="I2" s="7"/>
      <c r="J2" s="7"/>
      <c r="K2" s="7"/>
      <c r="L2" s="7"/>
      <c r="M2" s="7"/>
      <c r="N2" s="7"/>
      <c r="O2" s="7"/>
      <c r="P2" s="7"/>
      <c r="Q2" s="7"/>
      <c r="R2" s="7"/>
      <c r="S2" s="7"/>
      <c r="T2" s="7"/>
      <c r="U2" s="7"/>
      <c r="V2" s="7"/>
      <c r="W2" s="7"/>
      <c r="X2" s="7"/>
      <c r="Y2" s="7"/>
      <c r="Z2" s="7"/>
    </row>
    <row r="3" spans="1:26" ht="12" customHeight="1">
      <c r="A3" s="7"/>
      <c r="B3" s="55" t="s">
        <v>1</v>
      </c>
      <c r="C3" s="118" t="str">
        <f>Cover!C4</f>
        <v>Shoppe</v>
      </c>
      <c r="D3" s="102"/>
      <c r="E3" s="119"/>
      <c r="F3" s="102"/>
      <c r="G3" s="56"/>
      <c r="H3" s="57"/>
      <c r="I3" s="7"/>
      <c r="J3" s="7"/>
      <c r="K3" s="7"/>
      <c r="L3" s="7"/>
      <c r="M3" s="7"/>
      <c r="N3" s="7"/>
      <c r="O3" s="7"/>
      <c r="P3" s="7"/>
      <c r="Q3" s="7"/>
      <c r="R3" s="7"/>
      <c r="S3" s="7"/>
      <c r="T3" s="7"/>
      <c r="U3" s="7"/>
      <c r="V3" s="7"/>
      <c r="W3" s="7"/>
      <c r="X3" s="7"/>
      <c r="Y3" s="7"/>
      <c r="Z3" s="7"/>
    </row>
    <row r="4" spans="1:26" ht="12" customHeight="1">
      <c r="A4" s="7"/>
      <c r="B4" s="55" t="s">
        <v>3</v>
      </c>
      <c r="C4" s="118" t="str">
        <f>Cover!C5</f>
        <v>Shoppe</v>
      </c>
      <c r="D4" s="102"/>
      <c r="E4" s="119"/>
      <c r="F4" s="102"/>
      <c r="G4" s="56"/>
      <c r="H4" s="57"/>
      <c r="I4" s="7"/>
      <c r="J4" s="7"/>
      <c r="K4" s="7"/>
      <c r="L4" s="7"/>
      <c r="M4" s="7"/>
      <c r="N4" s="7"/>
      <c r="O4" s="7"/>
      <c r="P4" s="7"/>
      <c r="Q4" s="7"/>
      <c r="R4" s="7"/>
      <c r="S4" s="7"/>
      <c r="T4" s="7"/>
      <c r="U4" s="7"/>
      <c r="V4" s="7"/>
      <c r="W4" s="7"/>
      <c r="X4" s="7"/>
      <c r="Y4" s="7"/>
      <c r="Z4" s="7"/>
    </row>
    <row r="5" spans="1:26" ht="12" customHeight="1">
      <c r="A5" s="7"/>
      <c r="B5" s="58" t="s">
        <v>5</v>
      </c>
      <c r="C5" s="118" t="str">
        <f>C4&amp;"_"&amp;"Test Report"&amp;"_"&amp;"v0.1"</f>
        <v>Shoppe_Test Report_v0.1</v>
      </c>
      <c r="D5" s="102"/>
      <c r="E5" s="119"/>
      <c r="F5" s="102"/>
      <c r="G5" s="59"/>
      <c r="H5" s="60"/>
      <c r="I5" s="7"/>
      <c r="J5" s="7"/>
      <c r="K5" s="7"/>
      <c r="L5" s="7"/>
      <c r="M5" s="7"/>
      <c r="N5" s="7"/>
      <c r="O5" s="7"/>
      <c r="P5" s="7"/>
      <c r="Q5" s="7"/>
      <c r="R5" s="7"/>
      <c r="S5" s="7"/>
      <c r="T5" s="7"/>
      <c r="U5" s="7"/>
      <c r="V5" s="7"/>
      <c r="W5" s="7"/>
      <c r="X5" s="7"/>
      <c r="Y5" s="7"/>
      <c r="Z5" s="7"/>
    </row>
    <row r="6" spans="1:26" ht="21.75" customHeight="1">
      <c r="A6" s="53"/>
      <c r="B6" s="58" t="s">
        <v>34</v>
      </c>
      <c r="C6" s="120"/>
      <c r="D6" s="101"/>
      <c r="E6" s="101"/>
      <c r="F6" s="101"/>
      <c r="G6" s="101"/>
      <c r="H6" s="102"/>
      <c r="I6" s="7"/>
      <c r="J6" s="7"/>
      <c r="K6" s="7"/>
      <c r="L6" s="7"/>
      <c r="M6" s="7"/>
      <c r="N6" s="7"/>
      <c r="O6" s="7"/>
      <c r="P6" s="7"/>
      <c r="Q6" s="7"/>
      <c r="R6" s="7"/>
      <c r="S6" s="7"/>
      <c r="T6" s="7"/>
      <c r="U6" s="7"/>
      <c r="V6" s="7"/>
      <c r="W6" s="7"/>
      <c r="X6" s="7"/>
      <c r="Y6" s="7"/>
      <c r="Z6" s="7"/>
    </row>
    <row r="7" spans="1:26" ht="14.25" customHeight="1">
      <c r="A7" s="53"/>
      <c r="B7" s="12"/>
      <c r="C7" s="61"/>
      <c r="D7" s="7"/>
      <c r="E7" s="7"/>
      <c r="F7" s="7"/>
      <c r="G7" s="7"/>
      <c r="H7" s="54"/>
      <c r="I7" s="7"/>
      <c r="J7" s="7"/>
      <c r="K7" s="7"/>
      <c r="L7" s="7"/>
      <c r="M7" s="7"/>
      <c r="N7" s="7"/>
      <c r="O7" s="7"/>
      <c r="P7" s="7"/>
      <c r="Q7" s="7"/>
      <c r="R7" s="7"/>
      <c r="S7" s="7"/>
      <c r="T7" s="7"/>
      <c r="U7" s="7"/>
      <c r="V7" s="7"/>
      <c r="W7" s="7"/>
      <c r="X7" s="7"/>
      <c r="Y7" s="7"/>
      <c r="Z7" s="7"/>
    </row>
    <row r="8" spans="1:26" ht="12.75" customHeight="1">
      <c r="A8" s="7"/>
      <c r="B8" s="12"/>
      <c r="C8" s="61"/>
      <c r="D8" s="7"/>
      <c r="E8" s="7"/>
      <c r="F8" s="7"/>
      <c r="G8" s="7"/>
      <c r="H8" s="54"/>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3.5" customHeight="1">
      <c r="A10" s="62"/>
      <c r="B10" s="63" t="s">
        <v>18</v>
      </c>
      <c r="C10" s="64" t="s">
        <v>35</v>
      </c>
      <c r="D10" s="65" t="s">
        <v>36</v>
      </c>
      <c r="E10" s="64" t="s">
        <v>37</v>
      </c>
      <c r="F10" s="64" t="s">
        <v>25</v>
      </c>
      <c r="G10" s="66" t="s">
        <v>24</v>
      </c>
      <c r="H10" s="67" t="s">
        <v>26</v>
      </c>
      <c r="I10" s="67" t="s">
        <v>38</v>
      </c>
      <c r="J10" s="7"/>
      <c r="K10" s="7"/>
      <c r="L10" s="7"/>
      <c r="M10" s="7"/>
      <c r="N10" s="7"/>
      <c r="O10" s="7"/>
      <c r="P10" s="7"/>
      <c r="Q10" s="7"/>
      <c r="R10" s="7"/>
      <c r="S10" s="7"/>
      <c r="T10" s="7"/>
      <c r="U10" s="7"/>
      <c r="V10" s="7"/>
      <c r="W10" s="7"/>
      <c r="X10" s="7"/>
      <c r="Y10" s="7"/>
      <c r="Z10" s="7"/>
    </row>
    <row r="11" spans="1:26" ht="12.75" customHeight="1">
      <c r="A11" s="62"/>
      <c r="B11" s="68">
        <v>1</v>
      </c>
      <c r="C11" s="69" t="str">
        <f>'Test thêm sản phẩm'!B2</f>
        <v>USR_ADD</v>
      </c>
      <c r="D11" s="70">
        <f>'Test thêm sản phẩm'!B6</f>
        <v>9</v>
      </c>
      <c r="E11" s="70">
        <f>'Test thêm sản phẩm'!C6</f>
        <v>1</v>
      </c>
      <c r="F11" s="70">
        <f>'Test thêm sản phẩm'!D6</f>
        <v>0</v>
      </c>
      <c r="G11" s="70">
        <f>'Test thêm sản phẩm'!E6</f>
        <v>0</v>
      </c>
      <c r="H11" s="70">
        <f>'Test thêm sản phẩm'!F6</f>
        <v>0</v>
      </c>
      <c r="I11" s="71">
        <f>'Test thêm sản phẩm'!G6</f>
        <v>10</v>
      </c>
      <c r="J11" s="7"/>
      <c r="K11" s="7"/>
      <c r="L11" s="7"/>
      <c r="M11" s="7"/>
      <c r="N11" s="7"/>
      <c r="O11" s="7"/>
      <c r="P11" s="7"/>
      <c r="Q11" s="7"/>
      <c r="R11" s="7"/>
      <c r="S11" s="7"/>
      <c r="T11" s="7"/>
      <c r="U11" s="7"/>
      <c r="V11" s="7"/>
      <c r="W11" s="7"/>
      <c r="X11" s="7"/>
      <c r="Y11" s="7"/>
      <c r="Z11" s="7"/>
    </row>
    <row r="12" spans="1:26" ht="12.75" customHeight="1">
      <c r="A12" s="62"/>
      <c r="B12" s="68">
        <v>2</v>
      </c>
      <c r="C12" s="69" t="str">
        <f>'Test xóa sản phẩm '!B2</f>
        <v>USR_DEL</v>
      </c>
      <c r="D12" s="70">
        <f>'Test xóa sản phẩm '!B6</f>
        <v>3</v>
      </c>
      <c r="E12" s="70">
        <f>'Test xóa sản phẩm '!C6</f>
        <v>1</v>
      </c>
      <c r="F12" s="70">
        <f>'Test xóa sản phẩm '!D6</f>
        <v>0</v>
      </c>
      <c r="G12" s="70">
        <f>'Test xóa sản phẩm '!E6</f>
        <v>0</v>
      </c>
      <c r="H12" s="70">
        <f>'Test xóa sản phẩm '!F6</f>
        <v>0</v>
      </c>
      <c r="I12" s="71">
        <f>'Test xóa sản phẩm '!G6</f>
        <v>4</v>
      </c>
      <c r="J12" s="7"/>
      <c r="K12" s="7"/>
      <c r="L12" s="7"/>
      <c r="M12" s="7"/>
      <c r="N12" s="7"/>
      <c r="O12" s="7"/>
      <c r="P12" s="7"/>
      <c r="Q12" s="7"/>
      <c r="R12" s="7"/>
      <c r="S12" s="7"/>
      <c r="T12" s="7"/>
      <c r="U12" s="7"/>
      <c r="V12" s="7"/>
      <c r="W12" s="7"/>
      <c r="X12" s="7"/>
      <c r="Y12" s="7"/>
      <c r="Z12" s="7"/>
    </row>
    <row r="13" spans="1:26" ht="12.75" customHeight="1">
      <c r="A13" s="62"/>
      <c r="B13" s="68">
        <v>3</v>
      </c>
      <c r="C13" s="69" t="str">
        <f>'Test cập nhật giỏ hàng'!B2</f>
        <v>USR_UPTDATE</v>
      </c>
      <c r="D13" s="70">
        <f>'Test cập nhật giỏ hàng'!B6</f>
        <v>5</v>
      </c>
      <c r="E13" s="70">
        <f>'Test cập nhật giỏ hàng'!C6</f>
        <v>2</v>
      </c>
      <c r="F13" s="70">
        <f>'Test cập nhật giỏ hàng'!D6</f>
        <v>0</v>
      </c>
      <c r="G13" s="70">
        <f>'Test cập nhật giỏ hàng'!E6</f>
        <v>0</v>
      </c>
      <c r="H13" s="70">
        <f>'Test cập nhật giỏ hàng'!F6</f>
        <v>0</v>
      </c>
      <c r="I13" s="71">
        <f>'Test cập nhật giỏ hàng'!G6</f>
        <v>7</v>
      </c>
      <c r="J13" s="7"/>
      <c r="K13" s="7"/>
      <c r="L13" s="7"/>
      <c r="M13" s="7"/>
      <c r="N13" s="7"/>
      <c r="O13" s="7"/>
      <c r="P13" s="7"/>
      <c r="Q13" s="7"/>
      <c r="R13" s="7"/>
      <c r="S13" s="7"/>
      <c r="T13" s="7"/>
      <c r="U13" s="7"/>
      <c r="V13" s="7"/>
      <c r="W13" s="7"/>
      <c r="X13" s="7"/>
      <c r="Y13" s="7"/>
      <c r="Z13" s="7"/>
    </row>
    <row r="14" spans="1:26" ht="12.75" customHeight="1">
      <c r="A14" s="62"/>
      <c r="B14" s="68">
        <v>4</v>
      </c>
      <c r="C14" s="69" t="str">
        <f>'Test thanh toán'!B2</f>
        <v>USR_Pay</v>
      </c>
      <c r="D14" s="70">
        <f>'Test thanh toán'!B6</f>
        <v>9</v>
      </c>
      <c r="E14" s="70">
        <f>'Test thanh toán'!C6</f>
        <v>1</v>
      </c>
      <c r="F14" s="70">
        <f>'Test thanh toán'!D6</f>
        <v>0</v>
      </c>
      <c r="G14" s="70">
        <f>'Test thanh toán'!E6</f>
        <v>0</v>
      </c>
      <c r="H14" s="70">
        <f>'Test thanh toán'!F6</f>
        <v>0</v>
      </c>
      <c r="I14" s="71">
        <f>'Test thanh toán'!G6</f>
        <v>10</v>
      </c>
      <c r="J14" s="83"/>
      <c r="K14" s="83"/>
      <c r="L14" s="83"/>
      <c r="M14" s="83"/>
      <c r="N14" s="83"/>
      <c r="O14" s="83"/>
      <c r="P14" s="83"/>
      <c r="Q14" s="83"/>
      <c r="R14" s="83"/>
      <c r="S14" s="83"/>
      <c r="T14" s="83"/>
      <c r="U14" s="83"/>
      <c r="V14" s="83"/>
      <c r="W14" s="83"/>
      <c r="X14" s="83"/>
      <c r="Y14" s="83"/>
      <c r="Z14" s="83"/>
    </row>
    <row r="15" spans="1:26" ht="12.75" customHeight="1">
      <c r="A15" s="62"/>
      <c r="B15" s="68">
        <v>5</v>
      </c>
      <c r="C15" s="69" t="str">
        <f>'Test trải nghiệm người dùng'!B2</f>
        <v>USR_EXP</v>
      </c>
      <c r="D15" s="70">
        <f>'Test trải nghiệm người dùng'!B6</f>
        <v>8</v>
      </c>
      <c r="E15" s="70">
        <f>'Test trải nghiệm người dùng'!C6</f>
        <v>1</v>
      </c>
      <c r="F15" s="70">
        <f>'Test trải nghiệm người dùng'!D6</f>
        <v>1</v>
      </c>
      <c r="G15" s="70">
        <f>'Test trải nghiệm người dùng'!E6</f>
        <v>0</v>
      </c>
      <c r="H15" s="70">
        <f>'Test trải nghiệm người dùng'!F6</f>
        <v>0</v>
      </c>
      <c r="I15" s="71">
        <f>'Test trải nghiệm người dùng'!G6</f>
        <v>10</v>
      </c>
      <c r="J15" s="7"/>
      <c r="K15" s="7"/>
      <c r="L15" s="7"/>
      <c r="M15" s="7"/>
      <c r="N15" s="7"/>
      <c r="O15" s="7"/>
      <c r="P15" s="7"/>
      <c r="Q15" s="7"/>
      <c r="R15" s="7"/>
      <c r="S15" s="7"/>
      <c r="T15" s="7"/>
      <c r="U15" s="7"/>
      <c r="V15" s="7"/>
      <c r="W15" s="7"/>
      <c r="X15" s="7"/>
      <c r="Y15" s="7"/>
      <c r="Z15" s="7"/>
    </row>
    <row r="16" spans="1:26" ht="12.75" customHeight="1">
      <c r="A16" s="62"/>
      <c r="B16" s="72"/>
      <c r="C16" s="73" t="s">
        <v>39</v>
      </c>
      <c r="D16" s="74">
        <f t="shared" ref="D16:I16" si="0">SUM(D9:D15)</f>
        <v>34</v>
      </c>
      <c r="E16" s="74">
        <f t="shared" si="0"/>
        <v>6</v>
      </c>
      <c r="F16" s="74">
        <f t="shared" si="0"/>
        <v>1</v>
      </c>
      <c r="G16" s="74">
        <f t="shared" si="0"/>
        <v>0</v>
      </c>
      <c r="H16" s="75">
        <f t="shared" si="0"/>
        <v>0</v>
      </c>
      <c r="I16" s="75">
        <f t="shared" si="0"/>
        <v>41</v>
      </c>
      <c r="J16" s="7"/>
      <c r="K16" s="7"/>
      <c r="L16" s="7"/>
      <c r="M16" s="7"/>
      <c r="N16" s="7"/>
      <c r="O16" s="7"/>
      <c r="P16" s="7"/>
      <c r="Q16" s="7"/>
      <c r="R16" s="7"/>
      <c r="S16" s="7"/>
      <c r="T16" s="7"/>
      <c r="U16" s="7"/>
      <c r="V16" s="7"/>
      <c r="W16" s="7"/>
      <c r="X16" s="7"/>
      <c r="Y16" s="7"/>
      <c r="Z16" s="7"/>
    </row>
    <row r="17" spans="1:26" ht="12.75" customHeight="1">
      <c r="A17" s="7"/>
      <c r="B17" s="76"/>
      <c r="C17" s="7"/>
      <c r="D17" s="77"/>
      <c r="E17" s="78"/>
      <c r="F17" s="78"/>
      <c r="G17" s="78"/>
      <c r="H17" s="78"/>
      <c r="I17" s="7"/>
      <c r="J17" s="7"/>
      <c r="K17" s="7"/>
      <c r="L17" s="7"/>
      <c r="M17" s="7"/>
      <c r="N17" s="7"/>
      <c r="O17" s="7"/>
      <c r="P17" s="7"/>
      <c r="Q17" s="7"/>
      <c r="R17" s="7"/>
      <c r="S17" s="7"/>
      <c r="T17" s="7"/>
      <c r="U17" s="7"/>
      <c r="V17" s="7"/>
      <c r="W17" s="7"/>
      <c r="X17" s="7"/>
      <c r="Y17" s="7"/>
      <c r="Z17" s="7"/>
    </row>
    <row r="18" spans="1:26" ht="12.75" customHeight="1">
      <c r="A18" s="7"/>
      <c r="B18" s="7"/>
      <c r="C18" s="5" t="s">
        <v>40</v>
      </c>
      <c r="D18" s="7"/>
      <c r="E18" s="79">
        <f>(D16+E16)*100/(I16-H16-G16)</f>
        <v>97.560975609756099</v>
      </c>
      <c r="F18" s="7" t="s">
        <v>41</v>
      </c>
      <c r="G18" s="7"/>
      <c r="H18" s="42"/>
      <c r="I18" s="7"/>
      <c r="J18" s="7"/>
      <c r="K18" s="7"/>
      <c r="L18" s="7"/>
      <c r="M18" s="7"/>
      <c r="N18" s="7"/>
      <c r="O18" s="7"/>
      <c r="P18" s="7"/>
      <c r="Q18" s="7"/>
      <c r="R18" s="7"/>
      <c r="S18" s="7"/>
      <c r="T18" s="7"/>
      <c r="U18" s="7"/>
      <c r="V18" s="7"/>
      <c r="W18" s="7"/>
      <c r="X18" s="7"/>
      <c r="Y18" s="7"/>
      <c r="Z18" s="7"/>
    </row>
    <row r="19" spans="1:26" ht="12.75" customHeight="1">
      <c r="A19" s="7"/>
      <c r="B19" s="7"/>
      <c r="C19" s="5" t="s">
        <v>42</v>
      </c>
      <c r="D19" s="7"/>
      <c r="E19" s="79">
        <f>D16*100/(D16+E16)</f>
        <v>85</v>
      </c>
      <c r="F19" s="7" t="s">
        <v>41</v>
      </c>
      <c r="G19" s="7"/>
      <c r="H19" s="42"/>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t="s">
        <v>157</v>
      </c>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2.75" customHeight="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Test trải nghiệm người dùng</vt:lpstr>
      <vt:lpstr>Test thêm sản phẩm</vt:lpstr>
      <vt:lpstr>Test xóa sản phẩm </vt:lpstr>
      <vt:lpstr>Test cập nhật giỏ hàng</vt:lpstr>
      <vt:lpstr>Test thanh toán</vt:lpstr>
      <vt:lpstr>Test defect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Hii</cp:lastModifiedBy>
  <dcterms:created xsi:type="dcterms:W3CDTF">2014-07-14T08:56:24Z</dcterms:created>
  <dcterms:modified xsi:type="dcterms:W3CDTF">2025-01-18T20:23:25Z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